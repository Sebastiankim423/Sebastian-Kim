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d52bb83a98f88c/Desktop/BUS 620 Economics/"/>
    </mc:Choice>
  </mc:AlternateContent>
  <xr:revisionPtr revIDLastSave="2073" documentId="8_{202E0E92-0A53-4DF2-844D-22EFC22CE560}" xr6:coauthVersionLast="47" xr6:coauthVersionMax="47" xr10:uidLastSave="{453CF89E-C8E5-43C1-BA7E-B90288FDAF88}"/>
  <bookViews>
    <workbookView xWindow="0" yWindow="450" windowWidth="22935" windowHeight="13935" activeTab="3" xr2:uid="{CB3B63E6-161E-4EB6-9C62-E77ECB56D41C}"/>
  </bookViews>
  <sheets>
    <sheet name="Inputs" sheetId="8" r:id="rId1"/>
    <sheet name="Calculations" sheetId="2" r:id="rId2"/>
    <sheet name="Optimization" sheetId="3" r:id="rId3"/>
    <sheet name="Checks" sheetId="4" r:id="rId4"/>
    <sheet name="Example Answer Report 1" sheetId="5" r:id="rId5"/>
    <sheet name="Example Answer Report 2" sheetId="7" r:id="rId6"/>
    <sheet name="Hypothesis Report " sheetId="9" r:id="rId7"/>
    <sheet name="Marginal Cost" sheetId="10" r:id="rId8"/>
    <sheet name="Cost Structure" sheetId="11" r:id="rId9"/>
  </sheets>
  <definedNames>
    <definedName name="CARROT_BED_CAP">Inputs!$B$19</definedName>
    <definedName name="CARROT_DIM_PCT">Inputs!$B$23</definedName>
    <definedName name="CARROT_FERTILIZER_PER_BED">Inputs!$B$22</definedName>
    <definedName name="CARROT_HRS_PER_BED">Inputs!$B$21</definedName>
    <definedName name="CARROT_REVENUE_PER_BED">Inputs!$B$20</definedName>
    <definedName name="CARROTS_DIM_PCT">Inputs!$B$23</definedName>
    <definedName name="CARROTS_HRS_PER_BED">Inputs!$B$21</definedName>
    <definedName name="FARMER_HOURS">Inputs!$B$5</definedName>
    <definedName name="FARMER_RATE">Inputs!$B$6</definedName>
    <definedName name="FIXED_COSTS">Inputs!$B$3</definedName>
    <definedName name="MESCLUN_BED_CAP">Inputs!$B$26</definedName>
    <definedName name="MESCLUN_DIM_PCT">Inputs!$B$30</definedName>
    <definedName name="MESCLUN_FERTILIZER_PER_BED">Inputs!$B$29</definedName>
    <definedName name="MESCLUN_HRS_PER_BED">Inputs!$B$28</definedName>
    <definedName name="MESCLUN_REVENUE_PER_BED">Inputs!$B$27</definedName>
    <definedName name="solver_adj" localSheetId="2" hidden="1">Optimization!$B$1:$B$3</definedName>
    <definedName name="solver_cvg" localSheetId="2" hidden="1">0.0001</definedName>
    <definedName name="solver_drv" localSheetId="2" hidden="1">1</definedName>
    <definedName name="solver_eng" localSheetId="1" hidden="1">1</definedName>
    <definedName name="solver_eng" localSheetId="3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Optimization!$B$1</definedName>
    <definedName name="solver_lhs2" localSheetId="2" hidden="1">Optimization!$B$1:$B$3</definedName>
    <definedName name="solver_lhs3" localSheetId="2" hidden="1">Optimization!$B$2</definedName>
    <definedName name="solver_lhs4" localSheetId="2" hidden="1">Optimization!$B$3</definedName>
    <definedName name="solver_lhs5" localSheetId="2" hidden="1">Optimization!$B$5</definedName>
    <definedName name="solver_lhs6" localSheetId="2" hidden="1">Optimization!$B$6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1" hidden="1">1</definedName>
    <definedName name="solver_neg" localSheetId="3" hidden="1">1</definedName>
    <definedName name="solver_neg" localSheetId="2" hidden="1">1</definedName>
    <definedName name="solver_nod" localSheetId="2" hidden="1">2147483647</definedName>
    <definedName name="solver_num" localSheetId="1" hidden="1">0</definedName>
    <definedName name="solver_num" localSheetId="3" hidden="1">0</definedName>
    <definedName name="solver_num" localSheetId="2" hidden="1">6</definedName>
    <definedName name="solver_nwt" localSheetId="2" hidden="1">1</definedName>
    <definedName name="solver_opt" localSheetId="1" hidden="1">Calculations!$B$21</definedName>
    <definedName name="solver_opt" localSheetId="3" hidden="1">Checks!#REF!</definedName>
    <definedName name="solver_opt" localSheetId="2" hidden="1">Optimization!$B$7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4</definedName>
    <definedName name="solver_rel3" localSheetId="2" hidden="1">1</definedName>
    <definedName name="solver_rel4" localSheetId="2" hidden="1">1</definedName>
    <definedName name="solver_rel5" localSheetId="2" hidden="1">1</definedName>
    <definedName name="solver_rel6" localSheetId="2" hidden="1">1</definedName>
    <definedName name="solver_rhs1" localSheetId="2" hidden="1">20</definedName>
    <definedName name="solver_rhs2" localSheetId="2" hidden="1">"integer"</definedName>
    <definedName name="solver_rhs3" localSheetId="2" hidden="1">20</definedName>
    <definedName name="solver_rhs4" localSheetId="2" hidden="1">30</definedName>
    <definedName name="solver_rhs5" localSheetId="2" hidden="1">64</definedName>
    <definedName name="solver_rhs6" localSheetId="2" hidden="1">6480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1" hidden="1">1</definedName>
    <definedName name="solver_typ" localSheetId="3" hidden="1">1</definedName>
    <definedName name="solver_typ" localSheetId="2" hidden="1">1</definedName>
    <definedName name="solver_val" localSheetId="1" hidden="1">0</definedName>
    <definedName name="solver_val" localSheetId="3" hidden="1">0</definedName>
    <definedName name="solver_val" localSheetId="2" hidden="1">0</definedName>
    <definedName name="solver_ver" localSheetId="1" hidden="1">3</definedName>
    <definedName name="solver_ver" localSheetId="3" hidden="1">3</definedName>
    <definedName name="solver_ver" localSheetId="2" hidden="1">3</definedName>
    <definedName name="TEMP_WORKER_RATE">Inputs!$B$9</definedName>
    <definedName name="TEMP_WORKERS_HOURS">Inputs!$B$8</definedName>
    <definedName name="TEMP_WORKERS_MAX">Inputs!$B$7</definedName>
    <definedName name="TOMATO_BED_CAP">Inputs!$B$12</definedName>
    <definedName name="TOMATO_DIM_PCT">Inputs!$B$16</definedName>
    <definedName name="TOMATO_FERTILIZER_PER_BED">Inputs!$B$15</definedName>
    <definedName name="TOMATO_HRS_PER_BED">Inputs!$B$14</definedName>
    <definedName name="TOMATO_REVENUE_PER_BED">Inputs!$B$13</definedName>
    <definedName name="TOTAL_BEDS">Inputs!$B$4</definedName>
    <definedName name="WEEKS">Inputs!$B$2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4" l="1"/>
  <c r="B24" i="2"/>
  <c r="B3" i="4"/>
  <c r="B56" i="10"/>
  <c r="B57" i="10"/>
  <c r="D57" i="10" s="1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D79" i="10" s="1"/>
  <c r="B80" i="10"/>
  <c r="B81" i="10"/>
  <c r="D81" i="10" s="1"/>
  <c r="B82" i="10"/>
  <c r="B83" i="10"/>
  <c r="B84" i="10"/>
  <c r="D84" i="10" s="1"/>
  <c r="B55" i="10"/>
  <c r="B31" i="10"/>
  <c r="B32" i="10"/>
  <c r="B33" i="10"/>
  <c r="D33" i="10" s="1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D47" i="10" s="1"/>
  <c r="B48" i="10"/>
  <c r="B49" i="10"/>
  <c r="B30" i="10"/>
  <c r="B6" i="10"/>
  <c r="B7" i="10"/>
  <c r="D7" i="10" s="1"/>
  <c r="B8" i="10"/>
  <c r="B9" i="10"/>
  <c r="B10" i="10"/>
  <c r="B11" i="10"/>
  <c r="B12" i="10"/>
  <c r="B13" i="10"/>
  <c r="B14" i="10"/>
  <c r="B15" i="10"/>
  <c r="B16" i="10"/>
  <c r="B17" i="10"/>
  <c r="D17" i="10" s="1"/>
  <c r="B18" i="10"/>
  <c r="D18" i="10" s="1"/>
  <c r="B19" i="10"/>
  <c r="B20" i="10"/>
  <c r="B21" i="10"/>
  <c r="B22" i="10"/>
  <c r="D22" i="10" s="1"/>
  <c r="B23" i="10"/>
  <c r="B24" i="10"/>
  <c r="B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55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30" i="10"/>
  <c r="B2" i="11"/>
  <c r="B1" i="11"/>
  <c r="B6" i="11"/>
  <c r="B4" i="11"/>
  <c r="B3" i="11"/>
  <c r="B5" i="11"/>
  <c r="B29" i="4"/>
  <c r="B28" i="4"/>
  <c r="B24" i="4"/>
  <c r="B25" i="4" s="1"/>
  <c r="D60" i="10"/>
  <c r="D61" i="10"/>
  <c r="D63" i="10"/>
  <c r="D64" i="10"/>
  <c r="D65" i="10"/>
  <c r="D66" i="10"/>
  <c r="D68" i="10"/>
  <c r="D34" i="10"/>
  <c r="D35" i="10"/>
  <c r="D39" i="10"/>
  <c r="D41" i="10"/>
  <c r="D11" i="10"/>
  <c r="D13" i="10"/>
  <c r="B15" i="4"/>
  <c r="B16" i="4" s="1"/>
  <c r="B11" i="4"/>
  <c r="B12" i="4" s="1"/>
  <c r="B7" i="4"/>
  <c r="B8" i="4" s="1"/>
  <c r="B3" i="2"/>
  <c r="B2" i="2"/>
  <c r="B6" i="2" s="1" a="1"/>
  <c r="B1" i="2"/>
  <c r="B5" i="3"/>
  <c r="B4" i="4" l="1"/>
  <c r="D82" i="10"/>
  <c r="D59" i="10"/>
  <c r="D62" i="10"/>
  <c r="D69" i="10"/>
  <c r="D75" i="10"/>
  <c r="D77" i="10"/>
  <c r="D83" i="10"/>
  <c r="D43" i="10"/>
  <c r="D45" i="10"/>
  <c r="D10" i="10"/>
  <c r="D15" i="10"/>
  <c r="D19" i="10"/>
  <c r="D24" i="10"/>
  <c r="D58" i="10"/>
  <c r="D9" i="10"/>
  <c r="D80" i="10"/>
  <c r="D73" i="10"/>
  <c r="D67" i="10"/>
  <c r="D71" i="10"/>
  <c r="D32" i="10"/>
  <c r="D23" i="10"/>
  <c r="D70" i="10"/>
  <c r="D72" i="10"/>
  <c r="D74" i="10"/>
  <c r="D76" i="10"/>
  <c r="D78" i="10"/>
  <c r="D38" i="10"/>
  <c r="D40" i="10"/>
  <c r="D42" i="10"/>
  <c r="D44" i="10"/>
  <c r="D46" i="10"/>
  <c r="D48" i="10"/>
  <c r="D14" i="10"/>
  <c r="D16" i="10"/>
  <c r="D37" i="10"/>
  <c r="D21" i="10"/>
  <c r="D49" i="10"/>
  <c r="D36" i="10"/>
  <c r="D56" i="10"/>
  <c r="D12" i="10"/>
  <c r="D20" i="10"/>
  <c r="D8" i="10"/>
  <c r="D31" i="10"/>
  <c r="B17" i="2"/>
  <c r="B12" i="2"/>
  <c r="B7" i="2"/>
  <c r="B16" i="2"/>
  <c r="B11" i="2"/>
  <c r="B10" i="2"/>
  <c r="B15" i="2"/>
  <c r="B5" i="2"/>
  <c r="B18" i="2" l="1"/>
  <c r="B13" i="2"/>
  <c r="B8" i="2"/>
  <c r="B20" i="2" s="1"/>
  <c r="B21" i="2" l="1"/>
  <c r="B22" i="2" s="1"/>
  <c r="B7" i="3" s="1"/>
  <c r="B19" i="4" s="1"/>
  <c r="B21" i="4" s="1"/>
  <c r="B6" i="3"/>
  <c r="D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<sst xmlns="http://schemas.openxmlformats.org/spreadsheetml/2006/main" count="335" uniqueCount="139">
  <si>
    <t>WEEKS</t>
  </si>
  <si>
    <t>Value</t>
  </si>
  <si>
    <t>Tomatoes</t>
  </si>
  <si>
    <t>Carrots</t>
  </si>
  <si>
    <t>Mesclun</t>
  </si>
  <si>
    <t>Tomato Beds</t>
  </si>
  <si>
    <t>Carrot Beds</t>
  </si>
  <si>
    <t>Mesclun Beds</t>
  </si>
  <si>
    <t>Tomato Labor</t>
  </si>
  <si>
    <t>Carrot Labor</t>
  </si>
  <si>
    <t>Mesclun Labor</t>
  </si>
  <si>
    <t>Total Labor</t>
  </si>
  <si>
    <t>Tomato Revenue</t>
  </si>
  <si>
    <t>Carrot Revenue</t>
  </si>
  <si>
    <t>Meslcun Revenue</t>
  </si>
  <si>
    <t>Total Revenue</t>
  </si>
  <si>
    <t>Tomato Fertilizer</t>
  </si>
  <si>
    <t>Carrot Fertilizer</t>
  </si>
  <si>
    <t>Mesclun Fertilizer</t>
  </si>
  <si>
    <t>Total Fertilizer</t>
  </si>
  <si>
    <t>Season Profit</t>
  </si>
  <si>
    <t>Total Beds</t>
  </si>
  <si>
    <t>Tomato q=1 Check</t>
  </si>
  <si>
    <t>Expected</t>
  </si>
  <si>
    <t>Actual</t>
  </si>
  <si>
    <t>Result</t>
  </si>
  <si>
    <t>Expected Tomatoes</t>
  </si>
  <si>
    <t>Expected Carrots</t>
  </si>
  <si>
    <t>Expected Mesclun</t>
  </si>
  <si>
    <t>Microsoft Excel 16.0 Answer Report</t>
  </si>
  <si>
    <t>Worksheet: [model.xlsx]Optimization</t>
  </si>
  <si>
    <t>Report Created: 10/9/2026 11:23:46 AM</t>
  </si>
  <si>
    <t>Result: Solver found a solution.  All Constraints and optimality conditions are satisfied.</t>
  </si>
  <si>
    <t>Solver Engine</t>
  </si>
  <si>
    <t>Engine: GRG Nonlinear</t>
  </si>
  <si>
    <t>Solution Time: 0.093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</si>
  <si>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</si>
  <si>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</si>
  <si>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</si>
  <si>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</si>
  <si>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</si>
  <si>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</si>
  <si>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</si>
  <si>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</si>
  <si>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</si>
  <si>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</si>
  <si>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</si>
  <si>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</si>
  <si>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</si>
  <si>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</si>
  <si>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</si>
  <si>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</si>
  <si>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</si>
  <si>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$B$7</t>
  </si>
  <si>
    <t>$B$1</t>
  </si>
  <si>
    <t>$B$2</t>
  </si>
  <si>
    <t>$B$3</t>
  </si>
  <si>
    <t>$B$5</t>
  </si>
  <si>
    <t>$B$5&lt;=64</t>
  </si>
  <si>
    <t>Not Binding</t>
  </si>
  <si>
    <t>$B$6</t>
  </si>
  <si>
    <t>$B$6&lt;=6480</t>
  </si>
  <si>
    <t>$B$1&lt;=20</t>
  </si>
  <si>
    <t>$B$2&lt;=20</t>
  </si>
  <si>
    <t>$B$3&lt;=30</t>
  </si>
  <si>
    <t>$B$1:$B$3=Integer</t>
  </si>
  <si>
    <t>Permanent Labor Cost</t>
  </si>
  <si>
    <t>Temporary Labor Cost</t>
  </si>
  <si>
    <t>Total Labor Cost</t>
  </si>
  <si>
    <t>Iterations: 0 Subproblems: 2</t>
  </si>
  <si>
    <t>Binding</t>
  </si>
  <si>
    <t>$B$1:$B$3</t>
  </si>
  <si>
    <t>Report Created: 10/9/2026 8:17:23 PM</t>
  </si>
  <si>
    <t>Solution Time: 0.64 Seconds.</t>
  </si>
  <si>
    <t>Input Name</t>
  </si>
  <si>
    <t>Unit</t>
  </si>
  <si>
    <t>Source</t>
  </si>
  <si>
    <t>Weeks</t>
  </si>
  <si>
    <t>Case Scenario</t>
  </si>
  <si>
    <t>Beds</t>
  </si>
  <si>
    <t>Dollars</t>
  </si>
  <si>
    <t>Hours</t>
  </si>
  <si>
    <t>FARMER_RATE</t>
  </si>
  <si>
    <t>FARMER_HOURS</t>
  </si>
  <si>
    <t>TOTAL_BEDS</t>
  </si>
  <si>
    <t>FIXED_COSTS</t>
  </si>
  <si>
    <t>Dollars/hour</t>
  </si>
  <si>
    <t>TEMP_WORKERS_MAX</t>
  </si>
  <si>
    <t>Workers</t>
  </si>
  <si>
    <t>TEMP_WORKERS_HOURS</t>
  </si>
  <si>
    <t>Hours/worker</t>
  </si>
  <si>
    <t>TEMP_WORKER_RATE</t>
  </si>
  <si>
    <t>TOMATO_BED_CAP</t>
  </si>
  <si>
    <t>Dollars/bed</t>
  </si>
  <si>
    <t>TOMATO_HRS_PER_BED</t>
  </si>
  <si>
    <t>Hours/week/bed</t>
  </si>
  <si>
    <t>TOMATO_FERTILIZER_PER_BED</t>
  </si>
  <si>
    <t>TOMATO_REVENUE_PER_BED</t>
  </si>
  <si>
    <t>TOMATO_DIM_PCT</t>
  </si>
  <si>
    <t>Percent</t>
  </si>
  <si>
    <t>CARROT_BED_CAP</t>
  </si>
  <si>
    <t>CARROT_REVENUE_PER_BED</t>
  </si>
  <si>
    <t>CARROT_FERTILIZER_PER_BED</t>
  </si>
  <si>
    <t>MESCLUN_BED_CAP</t>
  </si>
  <si>
    <t>MESCLUN_REVENUE_PER_BED</t>
  </si>
  <si>
    <t>MESCLUN_HRS_PER_BED</t>
  </si>
  <si>
    <t>Hours/weeks/bed</t>
  </si>
  <si>
    <t>MESCLUN_FERTILIZER_PER_BED</t>
  </si>
  <si>
    <t>MESCLUN_DIM_PCT</t>
  </si>
  <si>
    <t>CARROT_HRS_PER_BED</t>
  </si>
  <si>
    <t>CARROT_DIM_PCT</t>
  </si>
  <si>
    <t>Actual Tomatoes</t>
  </si>
  <si>
    <t>Tomato Result</t>
  </si>
  <si>
    <t>Actual Carrots</t>
  </si>
  <si>
    <t>Carrot Result</t>
  </si>
  <si>
    <t>Actual Meslcun</t>
  </si>
  <si>
    <t>Meslcun Result</t>
  </si>
  <si>
    <t>Expected Profit</t>
  </si>
  <si>
    <t>Actual Profit</t>
  </si>
  <si>
    <t>Tolerance</t>
  </si>
  <si>
    <t>Tolerance Result</t>
  </si>
  <si>
    <t>Report Created: 10/14/2026 4:12:05 PM</t>
  </si>
  <si>
    <t>Solution Time: 0.375 Seconds.</t>
  </si>
  <si>
    <t>Tomato Marginal Cost Schedule</t>
  </si>
  <si>
    <t>Total Cost</t>
  </si>
  <si>
    <t>Marginal Cost</t>
  </si>
  <si>
    <t>N/A</t>
  </si>
  <si>
    <t>Carrot Marginal  Cost Schedule</t>
  </si>
  <si>
    <t>Mesclun Marginal Cost Schedule</t>
  </si>
  <si>
    <t>Expxected Max Beds</t>
  </si>
  <si>
    <t>Actual Beds Used</t>
  </si>
  <si>
    <t>Beds Result</t>
  </si>
  <si>
    <t>Expected Max Labor</t>
  </si>
  <si>
    <t>Actual Labor</t>
  </si>
  <si>
    <t xml:space="preserve">Labor Result </t>
  </si>
  <si>
    <t>Total Fertilizer Cost</t>
  </si>
  <si>
    <t>Fixed Cost</t>
  </si>
  <si>
    <t>Beds (q)</t>
  </si>
  <si>
    <t>Labor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</si>
</sst>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indexed="1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10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2" xfId="0" applyBorder="1"/>
    <xf numFmtId="0" fontId="3" fillId="0" borderId="1" xfId="0" applyFont="1" applyBorder="1" applyAlignment="1">
      <alignment horizontal="center"/>
    </xf>
    <xf numFmtId="0" fontId="0" fillId="0" borderId="3" xfId="0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5" fillId="3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7598-F010-4D32-85F4-44B41133FC14}">
  <dimension ref="A1:D30"/>
  <sheetViews>
    <sheetView workbookViewId="0">
      <selection activeCell="A3" sqref="A3"/>
    </sheetView>
  </sheetViews>
  <sheetFormatPr defaultRowHeight="15" x14ac:dyDescent="0.25"/>
  <cols>
    <col min="1" max="1" width="29.140625" customWidth="1"/>
    <col min="2" max="2" width="15.140625" customWidth="1"/>
    <col min="3" max="3" width="16.85546875" customWidth="1"/>
  </cols>
  <sheetData>
    <row r="1" spans="1:4" x14ac:dyDescent="0.25">
      <c r="A1" s="11" t="s">
        <v>74</v>
      </c>
      <c r="B1" s="5" t="s">
        <v>1</v>
      </c>
      <c r="C1" s="5" t="s">
        <v>75</v>
      </c>
      <c r="D1" s="5" t="s">
        <v>76</v>
      </c>
    </row>
    <row r="2" spans="1:4" ht="30" x14ac:dyDescent="0.25">
      <c r="A2" s="12" t="s">
        <v>0</v>
      </c>
      <c r="B2">
        <v>36</v>
      </c>
      <c r="C2" t="s">
        <v>77</v>
      </c>
      <c r="D2" s="1" t="s">
        <v>78</v>
      </c>
    </row>
    <row r="3" spans="1:4" ht="30" x14ac:dyDescent="0.25">
      <c r="A3" s="12" t="s">
        <v>85</v>
      </c>
      <c r="B3">
        <v>20000</v>
      </c>
      <c r="C3" t="s">
        <v>80</v>
      </c>
      <c r="D3" s="1" t="s">
        <v>78</v>
      </c>
    </row>
    <row r="4" spans="1:4" ht="30" x14ac:dyDescent="0.25">
      <c r="A4" s="12" t="s">
        <v>84</v>
      </c>
      <c r="B4">
        <v>64</v>
      </c>
      <c r="C4" t="s">
        <v>79</v>
      </c>
      <c r="D4" s="1" t="s">
        <v>78</v>
      </c>
    </row>
    <row r="5" spans="1:4" ht="30" x14ac:dyDescent="0.25">
      <c r="A5" s="13" t="s">
        <v>83</v>
      </c>
      <c r="B5">
        <v>720</v>
      </c>
      <c r="C5" t="s">
        <v>81</v>
      </c>
      <c r="D5" s="1" t="s">
        <v>78</v>
      </c>
    </row>
    <row r="6" spans="1:4" ht="30" x14ac:dyDescent="0.25">
      <c r="A6" s="12" t="s">
        <v>82</v>
      </c>
      <c r="B6">
        <v>34.72</v>
      </c>
      <c r="C6" s="1" t="s">
        <v>86</v>
      </c>
      <c r="D6" s="1" t="s">
        <v>78</v>
      </c>
    </row>
    <row r="7" spans="1:4" ht="30" x14ac:dyDescent="0.25">
      <c r="A7" s="12" t="s">
        <v>87</v>
      </c>
      <c r="B7">
        <v>4</v>
      </c>
      <c r="C7" t="s">
        <v>88</v>
      </c>
      <c r="D7" s="1" t="s">
        <v>78</v>
      </c>
    </row>
    <row r="8" spans="1:4" ht="30" x14ac:dyDescent="0.25">
      <c r="A8" s="12" t="s">
        <v>89</v>
      </c>
      <c r="B8">
        <v>1440</v>
      </c>
      <c r="C8" t="s">
        <v>90</v>
      </c>
      <c r="D8" s="1" t="s">
        <v>78</v>
      </c>
    </row>
    <row r="9" spans="1:4" ht="30" x14ac:dyDescent="0.25">
      <c r="A9" s="12" t="s">
        <v>91</v>
      </c>
      <c r="B9">
        <v>17.36</v>
      </c>
      <c r="C9" t="s">
        <v>86</v>
      </c>
      <c r="D9" s="1" t="s">
        <v>78</v>
      </c>
    </row>
    <row r="10" spans="1:4" x14ac:dyDescent="0.25">
      <c r="A10" s="12"/>
    </row>
    <row r="11" spans="1:4" x14ac:dyDescent="0.25">
      <c r="A11" s="12"/>
    </row>
    <row r="12" spans="1:4" ht="30" x14ac:dyDescent="0.25">
      <c r="A12" s="12" t="s">
        <v>92</v>
      </c>
      <c r="B12">
        <v>20</v>
      </c>
      <c r="C12" t="s">
        <v>79</v>
      </c>
      <c r="D12" s="1" t="s">
        <v>78</v>
      </c>
    </row>
    <row r="13" spans="1:4" ht="30" x14ac:dyDescent="0.25">
      <c r="A13" s="12" t="s">
        <v>97</v>
      </c>
      <c r="B13">
        <v>8800</v>
      </c>
      <c r="C13" t="s">
        <v>93</v>
      </c>
      <c r="D13" s="1" t="s">
        <v>78</v>
      </c>
    </row>
    <row r="14" spans="1:4" ht="30" x14ac:dyDescent="0.25">
      <c r="A14" s="12" t="s">
        <v>94</v>
      </c>
      <c r="B14">
        <v>2.5</v>
      </c>
      <c r="C14" s="1" t="s">
        <v>95</v>
      </c>
      <c r="D14" s="1" t="s">
        <v>78</v>
      </c>
    </row>
    <row r="15" spans="1:4" ht="30" x14ac:dyDescent="0.25">
      <c r="A15" s="13" t="s">
        <v>96</v>
      </c>
      <c r="B15">
        <v>880</v>
      </c>
      <c r="C15" t="s">
        <v>93</v>
      </c>
      <c r="D15" s="1" t="s">
        <v>78</v>
      </c>
    </row>
    <row r="16" spans="1:4" ht="30" x14ac:dyDescent="0.25">
      <c r="A16" s="12" t="s">
        <v>98</v>
      </c>
      <c r="B16" s="2">
        <v>0.1</v>
      </c>
      <c r="C16" t="s">
        <v>99</v>
      </c>
      <c r="D16" s="1" t="s">
        <v>78</v>
      </c>
    </row>
    <row r="17" spans="1:4" x14ac:dyDescent="0.25">
      <c r="A17" s="12"/>
    </row>
    <row r="18" spans="1:4" x14ac:dyDescent="0.25">
      <c r="A18" s="12"/>
    </row>
    <row r="19" spans="1:4" ht="30" x14ac:dyDescent="0.25">
      <c r="A19" s="12" t="s">
        <v>100</v>
      </c>
      <c r="B19">
        <v>20</v>
      </c>
      <c r="C19" t="s">
        <v>79</v>
      </c>
      <c r="D19" s="1" t="s">
        <v>78</v>
      </c>
    </row>
    <row r="20" spans="1:4" ht="30" x14ac:dyDescent="0.25">
      <c r="A20" s="12" t="s">
        <v>101</v>
      </c>
      <c r="B20">
        <v>2094</v>
      </c>
      <c r="C20" t="s">
        <v>93</v>
      </c>
      <c r="D20" s="1" t="s">
        <v>78</v>
      </c>
    </row>
    <row r="21" spans="1:4" ht="30" x14ac:dyDescent="0.25">
      <c r="A21" s="12" t="s">
        <v>109</v>
      </c>
      <c r="B21">
        <v>0.83299999999999996</v>
      </c>
      <c r="C21" t="s">
        <v>95</v>
      </c>
      <c r="D21" s="1" t="s">
        <v>78</v>
      </c>
    </row>
    <row r="22" spans="1:4" ht="30" x14ac:dyDescent="0.25">
      <c r="A22" s="12" t="s">
        <v>102</v>
      </c>
      <c r="B22">
        <v>440</v>
      </c>
      <c r="C22" t="s">
        <v>93</v>
      </c>
      <c r="D22" s="1" t="s">
        <v>78</v>
      </c>
    </row>
    <row r="23" spans="1:4" ht="30" x14ac:dyDescent="0.25">
      <c r="A23" s="12" t="s">
        <v>110</v>
      </c>
      <c r="B23" s="3">
        <v>2.5000000000000001E-2</v>
      </c>
      <c r="C23" t="s">
        <v>99</v>
      </c>
      <c r="D23" s="1" t="s">
        <v>78</v>
      </c>
    </row>
    <row r="24" spans="1:4" x14ac:dyDescent="0.25">
      <c r="A24" s="12"/>
    </row>
    <row r="25" spans="1:4" x14ac:dyDescent="0.25">
      <c r="A25" s="12"/>
    </row>
    <row r="26" spans="1:4" ht="30" x14ac:dyDescent="0.25">
      <c r="A26" s="12" t="s">
        <v>103</v>
      </c>
      <c r="B26">
        <v>30</v>
      </c>
      <c r="C26" t="s">
        <v>79</v>
      </c>
      <c r="D26" s="1" t="s">
        <v>78</v>
      </c>
    </row>
    <row r="27" spans="1:4" ht="30" x14ac:dyDescent="0.25">
      <c r="A27" s="12" t="s">
        <v>104</v>
      </c>
      <c r="B27">
        <v>2700</v>
      </c>
      <c r="C27" t="s">
        <v>93</v>
      </c>
      <c r="D27" s="1" t="s">
        <v>78</v>
      </c>
    </row>
    <row r="28" spans="1:4" ht="30" x14ac:dyDescent="0.25">
      <c r="A28" s="12" t="s">
        <v>105</v>
      </c>
      <c r="B28">
        <v>1.25</v>
      </c>
      <c r="C28" t="s">
        <v>106</v>
      </c>
      <c r="D28" s="1" t="s">
        <v>78</v>
      </c>
    </row>
    <row r="29" spans="1:4" ht="30" x14ac:dyDescent="0.25">
      <c r="A29" s="13" t="s">
        <v>107</v>
      </c>
      <c r="B29">
        <v>880</v>
      </c>
      <c r="C29" t="s">
        <v>93</v>
      </c>
      <c r="D29" s="1" t="s">
        <v>78</v>
      </c>
    </row>
    <row r="30" spans="1:4" ht="30" x14ac:dyDescent="0.25">
      <c r="A30" s="12" t="s">
        <v>108</v>
      </c>
      <c r="B30" s="3">
        <v>1.2500000000000001E-2</v>
      </c>
      <c r="C30" t="s">
        <v>99</v>
      </c>
      <c r="D30" s="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89CE-34E3-44F4-85C3-871A0980CC5F}">
  <dimension ref="A1:B24"/>
  <sheetViews>
    <sheetView workbookViewId="0">
      <selection activeCell="B8" sqref="B8"/>
    </sheetView>
  </sheetViews>
  <sheetFormatPr defaultRowHeight="15" x14ac:dyDescent="0.25"/>
  <cols>
    <col min="1" max="1" width="17.7109375" customWidth="1"/>
  </cols>
  <sheetData>
    <row r="1" spans="1:2" ht="16.5" x14ac:dyDescent="0.25">
      <c r="A1" s="13" t="s">
        <v>5</v>
      </c>
      <c r="B1" s="4">
        <f>Optimization!B1</f>
        <v>10</v>
      </c>
    </row>
    <row r="2" spans="1:2" x14ac:dyDescent="0.25">
      <c r="A2" s="13" t="s">
        <v>6</v>
      </c>
      <c r="B2">
        <f>Optimization!B2</f>
        <v>20</v>
      </c>
    </row>
    <row r="3" spans="1:2" ht="16.5" x14ac:dyDescent="0.25">
      <c r="A3" s="13" t="s">
        <v>7</v>
      </c>
      <c r="B3" s="4">
        <f>Optimization!B3</f>
        <v>30</v>
      </c>
    </row>
    <row r="4" spans="1:2" x14ac:dyDescent="0.25">
      <c r="A4" s="12"/>
    </row>
    <row r="5" spans="1:2" ht="16.5" x14ac:dyDescent="0.25">
      <c r="A5" s="13" t="s">
        <v>8</v>
      </c>
      <c r="B5" s="4">
        <f>B1*TOMATO_HRS_PER_BED*WEEKS*(1+TOMATO_DIM_PCT)^B1</f>
        <v>2334.3682140900019</v>
      </c>
    </row>
    <row r="6" spans="1:2" ht="16.5" x14ac:dyDescent="0.25">
      <c r="A6" s="13" t="s">
        <v>9</v>
      </c>
      <c r="B6" s="4" cm="1">
        <f t="array" ref="B6">B2*CARROT_HRS_PER_BED*WEEKS*(1+CARROT_DIM_PCT)^B2</f>
        <v>982.77659622856766</v>
      </c>
    </row>
    <row r="7" spans="1:2" ht="16.5" x14ac:dyDescent="0.25">
      <c r="A7" s="13" t="s">
        <v>10</v>
      </c>
      <c r="B7" s="4">
        <f>B3*MESCLUN_HRS_PER_BED*WEEKS*(1+MESCLUN_DIM_PCT)^B3</f>
        <v>1959.6780360096488</v>
      </c>
    </row>
    <row r="8" spans="1:2" x14ac:dyDescent="0.25">
      <c r="A8" s="13" t="s">
        <v>11</v>
      </c>
      <c r="B8">
        <f>SUM(B5:B7)</f>
        <v>5276.8228463282185</v>
      </c>
    </row>
    <row r="9" spans="1:2" x14ac:dyDescent="0.25">
      <c r="A9" s="12"/>
    </row>
    <row r="10" spans="1:2" ht="16.5" x14ac:dyDescent="0.25">
      <c r="A10" s="13" t="s">
        <v>12</v>
      </c>
      <c r="B10" s="4">
        <f>B1*TOMATO_REVENUE_PER_BED</f>
        <v>88000</v>
      </c>
    </row>
    <row r="11" spans="1:2" ht="16.5" x14ac:dyDescent="0.25">
      <c r="A11" s="13" t="s">
        <v>13</v>
      </c>
      <c r="B11" s="4">
        <f>B2*CARROT_REVENUE_PER_BED</f>
        <v>41880</v>
      </c>
    </row>
    <row r="12" spans="1:2" ht="16.5" x14ac:dyDescent="0.25">
      <c r="A12" s="13" t="s">
        <v>14</v>
      </c>
      <c r="B12" s="4">
        <f>B3*MESCLUN_REVENUE_PER_BED</f>
        <v>81000</v>
      </c>
    </row>
    <row r="13" spans="1:2" ht="16.5" x14ac:dyDescent="0.25">
      <c r="A13" s="13" t="s">
        <v>15</v>
      </c>
      <c r="B13" s="4">
        <f>SUM(B10:B12)</f>
        <v>210880</v>
      </c>
    </row>
    <row r="14" spans="1:2" x14ac:dyDescent="0.25">
      <c r="A14" s="12"/>
    </row>
    <row r="15" spans="1:2" ht="16.5" x14ac:dyDescent="0.25">
      <c r="A15" s="13" t="s">
        <v>16</v>
      </c>
      <c r="B15" s="4">
        <f>B1*TOMATO_FERTILIZER_PER_BED</f>
        <v>8800</v>
      </c>
    </row>
    <row r="16" spans="1:2" ht="16.5" x14ac:dyDescent="0.25">
      <c r="A16" s="13" t="s">
        <v>17</v>
      </c>
      <c r="B16" s="4">
        <f>B2*CARROT_FERTILIZER_PER_BED</f>
        <v>8800</v>
      </c>
    </row>
    <row r="17" spans="1:2" ht="16.5" x14ac:dyDescent="0.25">
      <c r="A17" s="13" t="s">
        <v>18</v>
      </c>
      <c r="B17" s="4">
        <f>B3*MESCLUN_FERTILIZER_PER_BED</f>
        <v>26400</v>
      </c>
    </row>
    <row r="18" spans="1:2" ht="16.5" x14ac:dyDescent="0.25">
      <c r="A18" s="13" t="s">
        <v>19</v>
      </c>
      <c r="B18" s="4">
        <f>SUM(B15:B17)</f>
        <v>44000</v>
      </c>
    </row>
    <row r="19" spans="1:2" ht="16.5" x14ac:dyDescent="0.25">
      <c r="A19" s="12"/>
      <c r="B19" s="4"/>
    </row>
    <row r="20" spans="1:2" ht="30" x14ac:dyDescent="0.25">
      <c r="A20" s="13" t="s">
        <v>66</v>
      </c>
      <c r="B20" s="4">
        <f>MIN(B8,FARMER_HOURS)*FARMER_RATE</f>
        <v>24998.399999999998</v>
      </c>
    </row>
    <row r="21" spans="1:2" ht="30" x14ac:dyDescent="0.25">
      <c r="A21" s="13" t="s">
        <v>67</v>
      </c>
      <c r="B21" s="4">
        <f>MAX(0,B8-FARMER_HOURS)*TEMP_WORKER_RATE</f>
        <v>79106.444612257867</v>
      </c>
    </row>
    <row r="22" spans="1:2" ht="16.5" x14ac:dyDescent="0.25">
      <c r="A22" s="13" t="s">
        <v>68</v>
      </c>
      <c r="B22" s="4">
        <f>B20+B21</f>
        <v>104104.84461225786</v>
      </c>
    </row>
    <row r="23" spans="1:2" x14ac:dyDescent="0.25">
      <c r="A23" s="12"/>
    </row>
    <row r="24" spans="1:2" x14ac:dyDescent="0.25">
      <c r="A24" s="13" t="s">
        <v>20</v>
      </c>
      <c r="B24">
        <f>B13-B18-B22-FIXED_COSTS</f>
        <v>42775.155387742139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EF08-01A6-42B5-90EB-713B2D0FF134}">
  <dimension ref="A1:B7"/>
  <sheetViews>
    <sheetView workbookViewId="0">
      <selection activeCell="B2" sqref="B2"/>
    </sheetView>
  </sheetViews>
  <sheetFormatPr defaultRowHeight="15" x14ac:dyDescent="0.25"/>
  <cols>
    <col min="1" max="1" width="14.28515625" customWidth="1"/>
    <col min="2" max="2" width="15.85546875" customWidth="1"/>
  </cols>
  <sheetData>
    <row r="1" spans="1:2" x14ac:dyDescent="0.25">
      <c r="A1" s="13" t="s">
        <v>2</v>
      </c>
      <c r="B1">
        <v>10</v>
      </c>
    </row>
    <row r="2" spans="1:2" x14ac:dyDescent="0.25">
      <c r="A2" s="12" t="s">
        <v>3</v>
      </c>
      <c r="B2">
        <v>20</v>
      </c>
    </row>
    <row r="3" spans="1:2" x14ac:dyDescent="0.25">
      <c r="A3" s="12" t="s">
        <v>4</v>
      </c>
      <c r="B3">
        <v>30</v>
      </c>
    </row>
    <row r="4" spans="1:2" x14ac:dyDescent="0.25">
      <c r="A4" s="12"/>
    </row>
    <row r="5" spans="1:2" ht="16.5" x14ac:dyDescent="0.25">
      <c r="A5" s="12" t="s">
        <v>21</v>
      </c>
      <c r="B5" s="4">
        <f>SUM(B1:B3)</f>
        <v>60</v>
      </c>
    </row>
    <row r="6" spans="1:2" ht="16.5" x14ac:dyDescent="0.25">
      <c r="A6" s="12" t="s">
        <v>11</v>
      </c>
      <c r="B6" s="4">
        <f>Calculations!B8</f>
        <v>5276.8228463282185</v>
      </c>
    </row>
    <row r="7" spans="1:2" ht="16.5" x14ac:dyDescent="0.25">
      <c r="A7" s="13" t="s">
        <v>20</v>
      </c>
      <c r="B7" s="4">
        <f>Calculations!B24</f>
        <v>42775.155387742139</v>
      </c>
    </row>
  </sheetData>
  <scenarios current="0">
    <scenario name="Scenario 2" count="3" user="Sebastian Kim" comment="Created by Sebastian Kim on 10/9/2026">
      <inputCells r="B1" val="10"/>
      <inputCells r="B2" val="20"/>
      <inputCells r="B3" val="30"/>
    </scenario>
  </scenario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E619-8C1A-4944-B8AD-22830FD50E6A}">
  <dimension ref="A1:B29"/>
  <sheetViews>
    <sheetView tabSelected="1" workbookViewId="0">
      <selection activeCell="B6" sqref="B6"/>
    </sheetView>
  </sheetViews>
  <sheetFormatPr defaultRowHeight="15" x14ac:dyDescent="0.25"/>
  <cols>
    <col min="1" max="1" width="21" customWidth="1"/>
  </cols>
  <sheetData>
    <row r="1" spans="1:2" ht="30" x14ac:dyDescent="0.25">
      <c r="A1" s="13" t="s">
        <v>22</v>
      </c>
    </row>
    <row r="2" spans="1:2" x14ac:dyDescent="0.25">
      <c r="A2" s="12" t="s">
        <v>23</v>
      </c>
      <c r="B2">
        <f>1*TOMATO_HRS_PER_BED*WEEKS*(1+TOMATO_DIM_PCT)</f>
        <v>99.000000000000014</v>
      </c>
    </row>
    <row r="3" spans="1:2" ht="16.5" x14ac:dyDescent="0.25">
      <c r="A3" s="12" t="s">
        <v>24</v>
      </c>
      <c r="B3" s="4">
        <f>1*TOMATO_HRS_PER_BED*WEEKS*(1+TOMATO_DIM_PCT)</f>
        <v>99.000000000000014</v>
      </c>
    </row>
    <row r="4" spans="1:2" ht="16.5" x14ac:dyDescent="0.25">
      <c r="A4" s="12" t="s">
        <v>25</v>
      </c>
      <c r="B4" s="4" t="str">
        <f>IF(B2=B3,"PASS","FAIL")</f>
        <v>PASS</v>
      </c>
    </row>
    <row r="5" spans="1:2" x14ac:dyDescent="0.25">
      <c r="A5" s="12"/>
    </row>
    <row r="6" spans="1:2" ht="30" x14ac:dyDescent="0.25">
      <c r="A6" s="13" t="s">
        <v>26</v>
      </c>
      <c r="B6">
        <v>10</v>
      </c>
    </row>
    <row r="7" spans="1:2" ht="30" x14ac:dyDescent="0.25">
      <c r="A7" s="13" t="s">
        <v>111</v>
      </c>
      <c r="B7">
        <f>Optimization!B1</f>
        <v>10</v>
      </c>
    </row>
    <row r="8" spans="1:2" ht="16.5" x14ac:dyDescent="0.25">
      <c r="A8" s="12" t="s">
        <v>112</v>
      </c>
      <c r="B8" s="4" t="str">
        <f>IF(B6=B7,"PASS","FAIL")</f>
        <v>PASS</v>
      </c>
    </row>
    <row r="9" spans="1:2" x14ac:dyDescent="0.25">
      <c r="A9" s="12"/>
    </row>
    <row r="10" spans="1:2" ht="30" x14ac:dyDescent="0.25">
      <c r="A10" s="13" t="s">
        <v>27</v>
      </c>
      <c r="B10">
        <v>20</v>
      </c>
    </row>
    <row r="11" spans="1:2" x14ac:dyDescent="0.25">
      <c r="A11" s="13" t="s">
        <v>113</v>
      </c>
      <c r="B11">
        <f>Optimization!B2</f>
        <v>20</v>
      </c>
    </row>
    <row r="12" spans="1:2" ht="16.5" x14ac:dyDescent="0.25">
      <c r="A12" s="13" t="s">
        <v>114</v>
      </c>
      <c r="B12" s="4" t="str">
        <f>IF(B10=B11,"PASS","FAIL")</f>
        <v>PASS</v>
      </c>
    </row>
    <row r="13" spans="1:2" x14ac:dyDescent="0.25">
      <c r="A13" s="12"/>
    </row>
    <row r="14" spans="1:2" ht="30" x14ac:dyDescent="0.25">
      <c r="A14" s="13" t="s">
        <v>28</v>
      </c>
      <c r="B14">
        <v>30</v>
      </c>
    </row>
    <row r="15" spans="1:2" ht="30" x14ac:dyDescent="0.25">
      <c r="A15" s="13" t="s">
        <v>115</v>
      </c>
      <c r="B15" s="4">
        <f>Optimization!B3</f>
        <v>30</v>
      </c>
    </row>
    <row r="16" spans="1:2" ht="30" x14ac:dyDescent="0.25">
      <c r="A16" s="13" t="s">
        <v>116</v>
      </c>
      <c r="B16" s="4" t="str">
        <f>IF(B14=B15,"PASS","FAIL")</f>
        <v>PASS</v>
      </c>
    </row>
    <row r="17" spans="1:2" x14ac:dyDescent="0.25">
      <c r="A17" s="12"/>
    </row>
    <row r="18" spans="1:2" ht="30" x14ac:dyDescent="0.25">
      <c r="A18" s="13" t="s">
        <v>117</v>
      </c>
      <c r="B18">
        <v>42762</v>
      </c>
    </row>
    <row r="19" spans="1:2" ht="16.5" x14ac:dyDescent="0.25">
      <c r="A19" s="13" t="s">
        <v>118</v>
      </c>
      <c r="B19" s="4">
        <f>Optimization!B7</f>
        <v>42775.155387742139</v>
      </c>
    </row>
    <row r="20" spans="1:2" x14ac:dyDescent="0.25">
      <c r="A20" s="13" t="s">
        <v>119</v>
      </c>
      <c r="B20">
        <v>20</v>
      </c>
    </row>
    <row r="21" spans="1:2" ht="30" x14ac:dyDescent="0.25">
      <c r="A21" s="13" t="s">
        <v>120</v>
      </c>
      <c r="B21" t="str">
        <f>IF(ABS(B19-B18)&lt;=B20,"PASS","FAIL")</f>
        <v>PASS</v>
      </c>
    </row>
    <row r="23" spans="1:2" ht="30" x14ac:dyDescent="0.25">
      <c r="A23" s="13" t="s">
        <v>129</v>
      </c>
      <c r="B23">
        <v>64</v>
      </c>
    </row>
    <row r="24" spans="1:2" x14ac:dyDescent="0.25">
      <c r="A24" s="13" t="s">
        <v>130</v>
      </c>
      <c r="B24">
        <f>Optimization!B5</f>
        <v>60</v>
      </c>
    </row>
    <row r="25" spans="1:2" x14ac:dyDescent="0.25">
      <c r="A25" s="13" t="s">
        <v>131</v>
      </c>
      <c r="B25" t="str">
        <f>IF(B24&lt;=B23,"PASS","FAIL")</f>
        <v>PASS</v>
      </c>
    </row>
    <row r="27" spans="1:2" x14ac:dyDescent="0.25">
      <c r="A27" s="13" t="s">
        <v>132</v>
      </c>
      <c r="B27">
        <v>6480</v>
      </c>
    </row>
    <row r="28" spans="1:2" x14ac:dyDescent="0.25">
      <c r="A28" s="13" t="s">
        <v>133</v>
      </c>
      <c r="B28">
        <f>Optimization!B6</f>
        <v>5276.8228463282185</v>
      </c>
    </row>
    <row r="29" spans="1:2" x14ac:dyDescent="0.25">
      <c r="A29" s="13" t="s">
        <v>134</v>
      </c>
      <c r="B29" t="str">
        <f>IF(B28&lt;=B27,"PASS","FAIL")</f>
        <v>PASS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FDD0-05F1-4EBB-B64D-C908F45E7FD0}">
  <dimension ref="A1:G33"/>
  <sheetViews>
    <sheetView showGridLines="0" workbookViewId="0">
      <selection activeCell="E21" sqref="E21"/>
    </sheetView>
  </sheetViews>
  <sheetFormatPr defaultRowHeight="15" x14ac:dyDescent="0.25"/>
  <cols>
    <col min="1" max="1" width="2.28515625" customWidth="1"/>
    <col min="2" max="2" width="17" bestFit="1" customWidth="1"/>
    <col min="3" max="3" width="12.5703125" bestFit="1" customWidth="1"/>
    <col min="4" max="4" width="13.5703125" bestFit="1" customWidth="1"/>
    <col min="5" max="5" width="11.140625" bestFit="1" customWidth="1"/>
    <col min="6" max="6" width="11.28515625" bestFit="1" customWidth="1"/>
    <col min="7" max="7" width="5.7109375" bestFit="1" customWidth="1"/>
  </cols>
  <sheetData>
    <row r="1" spans="1:5" x14ac:dyDescent="0.25">
      <c r="A1" s="5" t="s">
        <v>29</v>
      </c>
    </row>
    <row r="2" spans="1:5" x14ac:dyDescent="0.25">
      <c r="A2" s="5" t="s">
        <v>30</v>
      </c>
    </row>
    <row r="3" spans="1:5" x14ac:dyDescent="0.25">
      <c r="A3" s="5" t="s">
        <v>31</v>
      </c>
    </row>
    <row r="4" spans="1:5" x14ac:dyDescent="0.25">
      <c r="A4" s="5" t="s">
        <v>32</v>
      </c>
    </row>
    <row r="5" spans="1:5" x14ac:dyDescent="0.25">
      <c r="A5" s="5" t="s">
        <v>33</v>
      </c>
    </row>
    <row r="6" spans="1:5" x14ac:dyDescent="0.25">
      <c r="A6" s="5"/>
      <c r="B6" t="s">
        <v>34</v>
      </c>
    </row>
    <row r="7" spans="1:5" x14ac:dyDescent="0.25">
      <c r="A7" s="5"/>
      <c r="B7" t="s">
        <v>35</v>
      </c>
    </row>
    <row r="8" spans="1:5" x14ac:dyDescent="0.25">
      <c r="A8" s="5"/>
      <c r="B8" t="s">
        <v>36</v>
      </c>
    </row>
    <row r="9" spans="1:5" x14ac:dyDescent="0.25">
      <c r="A9" s="5" t="s">
        <v>37</v>
      </c>
    </row>
    <row r="10" spans="1:5" x14ac:dyDescent="0.25">
      <c r="B10" t="s">
        <v>38</v>
      </c>
    </row>
    <row r="11" spans="1:5" x14ac:dyDescent="0.25">
      <c r="B11" t="s">
        <v>39</v>
      </c>
    </row>
    <row r="12" spans="1:5" x14ac:dyDescent="0.25">
      <c r="B12" t="s">
        <v>40</v>
      </c>
    </row>
    <row r="14" spans="1:5" ht="15.75" thickBot="1" x14ac:dyDescent="0.3">
      <c r="A14" t="s">
        <v>41</v>
      </c>
    </row>
    <row r="15" spans="1:5" ht="15.75" thickBot="1" x14ac:dyDescent="0.3">
      <c r="B15" s="7" t="s">
        <v>42</v>
      </c>
      <c r="C15" s="7" t="s">
        <v>43</v>
      </c>
      <c r="D15" s="7" t="s">
        <v>44</v>
      </c>
      <c r="E15" s="7" t="s">
        <v>45</v>
      </c>
    </row>
    <row r="16" spans="1:5" ht="15.75" thickBot="1" x14ac:dyDescent="0.3">
      <c r="B16" s="6" t="s">
        <v>53</v>
      </c>
      <c r="C16" s="6" t="s">
        <v>20</v>
      </c>
      <c r="D16" s="6">
        <v>-20000</v>
      </c>
      <c r="E16" s="6">
        <v>-20000</v>
      </c>
    </row>
    <row r="19" spans="1:7" ht="15.75" thickBot="1" x14ac:dyDescent="0.3">
      <c r="A19" t="s">
        <v>46</v>
      </c>
    </row>
    <row r="20" spans="1:7" ht="15.75" thickBot="1" x14ac:dyDescent="0.3">
      <c r="B20" s="7" t="s">
        <v>42</v>
      </c>
      <c r="C20" s="7" t="s">
        <v>43</v>
      </c>
      <c r="D20" s="7" t="s">
        <v>44</v>
      </c>
      <c r="E20" s="7" t="s">
        <v>45</v>
      </c>
      <c r="F20" s="7" t="s">
        <v>47</v>
      </c>
    </row>
    <row r="21" spans="1:7" x14ac:dyDescent="0.25">
      <c r="B21" s="8" t="s">
        <v>54</v>
      </c>
      <c r="C21" s="8" t="s">
        <v>2</v>
      </c>
      <c r="D21" s="8">
        <v>0</v>
      </c>
      <c r="E21" s="8">
        <v>0</v>
      </c>
      <c r="F21" s="8" t="s">
        <v>47</v>
      </c>
    </row>
    <row r="22" spans="1:7" x14ac:dyDescent="0.25">
      <c r="B22" s="8" t="s">
        <v>55</v>
      </c>
      <c r="C22" s="8" t="s">
        <v>3</v>
      </c>
      <c r="D22" s="8">
        <v>0</v>
      </c>
      <c r="E22" s="8">
        <v>0</v>
      </c>
      <c r="F22" s="8" t="s">
        <v>47</v>
      </c>
    </row>
    <row r="23" spans="1:7" ht="15.75" thickBot="1" x14ac:dyDescent="0.3">
      <c r="B23" s="6" t="s">
        <v>56</v>
      </c>
      <c r="C23" s="6" t="s">
        <v>4</v>
      </c>
      <c r="D23" s="6">
        <v>0</v>
      </c>
      <c r="E23" s="6">
        <v>0</v>
      </c>
      <c r="F23" s="6" t="s">
        <v>47</v>
      </c>
    </row>
    <row r="26" spans="1:7" ht="15.75" thickBot="1" x14ac:dyDescent="0.3">
      <c r="A26" t="s">
        <v>48</v>
      </c>
    </row>
    <row r="27" spans="1:7" ht="15.75" thickBot="1" x14ac:dyDescent="0.3">
      <c r="B27" s="7" t="s">
        <v>42</v>
      </c>
      <c r="C27" s="7" t="s">
        <v>43</v>
      </c>
      <c r="D27" s="7" t="s">
        <v>49</v>
      </c>
      <c r="E27" s="7" t="s">
        <v>50</v>
      </c>
      <c r="F27" s="7" t="s">
        <v>51</v>
      </c>
      <c r="G27" s="7" t="s">
        <v>52</v>
      </c>
    </row>
    <row r="28" spans="1:7" x14ac:dyDescent="0.25">
      <c r="B28" s="8" t="s">
        <v>57</v>
      </c>
      <c r="C28" s="8" t="s">
        <v>21</v>
      </c>
      <c r="D28" s="8">
        <v>0</v>
      </c>
      <c r="E28" s="8" t="s">
        <v>58</v>
      </c>
      <c r="F28" s="8" t="s">
        <v>59</v>
      </c>
      <c r="G28" s="8">
        <v>64</v>
      </c>
    </row>
    <row r="29" spans="1:7" x14ac:dyDescent="0.25">
      <c r="B29" s="8" t="s">
        <v>60</v>
      </c>
      <c r="C29" s="8" t="s">
        <v>11</v>
      </c>
      <c r="D29" s="8">
        <v>0</v>
      </c>
      <c r="E29" s="8" t="s">
        <v>61</v>
      </c>
      <c r="F29" s="8" t="s">
        <v>59</v>
      </c>
      <c r="G29" s="8">
        <v>6480</v>
      </c>
    </row>
    <row r="30" spans="1:7" x14ac:dyDescent="0.25">
      <c r="B30" s="8" t="s">
        <v>54</v>
      </c>
      <c r="C30" s="8" t="s">
        <v>2</v>
      </c>
      <c r="D30" s="8">
        <v>0</v>
      </c>
      <c r="E30" s="8" t="s">
        <v>62</v>
      </c>
      <c r="F30" s="8" t="s">
        <v>59</v>
      </c>
      <c r="G30" s="8">
        <v>20</v>
      </c>
    </row>
    <row r="31" spans="1:7" x14ac:dyDescent="0.25">
      <c r="B31" s="8" t="s">
        <v>55</v>
      </c>
      <c r="C31" s="8" t="s">
        <v>3</v>
      </c>
      <c r="D31" s="8">
        <v>0</v>
      </c>
      <c r="E31" s="8" t="s">
        <v>63</v>
      </c>
      <c r="F31" s="8" t="s">
        <v>59</v>
      </c>
      <c r="G31" s="8">
        <v>20</v>
      </c>
    </row>
    <row r="32" spans="1:7" x14ac:dyDescent="0.25">
      <c r="B32" s="8" t="s">
        <v>56</v>
      </c>
      <c r="C32" s="8" t="s">
        <v>4</v>
      </c>
      <c r="D32" s="8">
        <v>0</v>
      </c>
      <c r="E32" s="8" t="s">
        <v>64</v>
      </c>
      <c r="F32" s="8" t="s">
        <v>59</v>
      </c>
      <c r="G32" s="8">
        <v>30</v>
      </c>
    </row>
    <row r="33" spans="2:7" ht="15.75" thickBot="1" x14ac:dyDescent="0.3">
      <c r="B33" s="6" t="s">
        <v>65</v>
      </c>
      <c r="C33" s="6"/>
      <c r="D33" s="6"/>
      <c r="E33" s="6"/>
      <c r="F33" s="6"/>
      <c r="G33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6F2E-AF2C-4EC5-9E33-BEA5EC954C4E}">
  <dimension ref="A1:G35"/>
  <sheetViews>
    <sheetView showGridLines="0" workbookViewId="0"/>
  </sheetViews>
  <sheetFormatPr defaultRowHeight="15" outlineLevelRow="1" x14ac:dyDescent="0.25"/>
  <cols>
    <col min="1" max="1" width="2.28515625" customWidth="1"/>
    <col min="2" max="2" width="17" bestFit="1" customWidth="1"/>
    <col min="3" max="3" width="12.5703125" bestFit="1" customWidth="1"/>
    <col min="4" max="4" width="13.5703125" bestFit="1" customWidth="1"/>
    <col min="5" max="5" width="12" bestFit="1" customWidth="1"/>
    <col min="6" max="6" width="11.28515625" bestFit="1" customWidth="1"/>
    <col min="7" max="7" width="12" bestFit="1" customWidth="1"/>
  </cols>
  <sheetData>
    <row r="1" spans="1:5" x14ac:dyDescent="0.25">
      <c r="A1" s="5" t="s">
        <v>29</v>
      </c>
    </row>
    <row r="2" spans="1:5" x14ac:dyDescent="0.25">
      <c r="A2" s="5" t="s">
        <v>30</v>
      </c>
    </row>
    <row r="3" spans="1:5" x14ac:dyDescent="0.25">
      <c r="A3" s="5" t="s">
        <v>72</v>
      </c>
    </row>
    <row r="4" spans="1:5" x14ac:dyDescent="0.25">
      <c r="A4" s="5" t="s">
        <v>32</v>
      </c>
    </row>
    <row r="5" spans="1:5" x14ac:dyDescent="0.25">
      <c r="A5" s="5" t="s">
        <v>33</v>
      </c>
    </row>
    <row r="6" spans="1:5" hidden="1" outlineLevel="1" x14ac:dyDescent="0.25">
      <c r="A6" s="5"/>
      <c r="B6" t="s">
        <v>34</v>
      </c>
    </row>
    <row r="7" spans="1:5" hidden="1" outlineLevel="1" x14ac:dyDescent="0.25">
      <c r="A7" s="5"/>
      <c r="B7" t="s">
        <v>73</v>
      </c>
    </row>
    <row r="8" spans="1:5" hidden="1" outlineLevel="1" x14ac:dyDescent="0.25">
      <c r="A8" s="5"/>
      <c r="B8" t="s">
        <v>69</v>
      </c>
    </row>
    <row r="9" spans="1:5" collapsed="1" x14ac:dyDescent="0.25">
      <c r="A9" s="5" t="s">
        <v>37</v>
      </c>
    </row>
    <row r="10" spans="1:5" hidden="1" outlineLevel="1" x14ac:dyDescent="0.25">
      <c r="B10" t="s">
        <v>38</v>
      </c>
    </row>
    <row r="11" spans="1:5" hidden="1" outlineLevel="1" x14ac:dyDescent="0.25">
      <c r="B11" t="s">
        <v>39</v>
      </c>
    </row>
    <row r="12" spans="1:5" hidden="1" outlineLevel="1" x14ac:dyDescent="0.25">
      <c r="B12" t="s">
        <v>40</v>
      </c>
    </row>
    <row r="13" spans="1:5" collapsed="1" x14ac:dyDescent="0.25"/>
    <row r="14" spans="1:5" ht="15.75" thickBot="1" x14ac:dyDescent="0.3">
      <c r="A14" t="s">
        <v>41</v>
      </c>
    </row>
    <row r="15" spans="1:5" ht="15.75" thickBot="1" x14ac:dyDescent="0.3">
      <c r="B15" s="7" t="s">
        <v>42</v>
      </c>
      <c r="C15" s="7" t="s">
        <v>43</v>
      </c>
      <c r="D15" s="7" t="s">
        <v>44</v>
      </c>
      <c r="E15" s="7" t="s">
        <v>45</v>
      </c>
    </row>
    <row r="16" spans="1:5" ht="15.75" thickBot="1" x14ac:dyDescent="0.3">
      <c r="B16" s="6" t="s">
        <v>53</v>
      </c>
      <c r="C16" s="6" t="s">
        <v>20</v>
      </c>
      <c r="D16" s="6">
        <v>-84320.118416526617</v>
      </c>
      <c r="E16" s="6">
        <v>42775.155387742139</v>
      </c>
    </row>
    <row r="19" spans="1:7" ht="15.75" thickBot="1" x14ac:dyDescent="0.3">
      <c r="A19" t="s">
        <v>46</v>
      </c>
    </row>
    <row r="20" spans="1:7" ht="15.75" thickBot="1" x14ac:dyDescent="0.3">
      <c r="B20" s="7" t="s">
        <v>42</v>
      </c>
      <c r="C20" s="7" t="s">
        <v>43</v>
      </c>
      <c r="D20" s="7" t="s">
        <v>44</v>
      </c>
      <c r="E20" s="7" t="s">
        <v>45</v>
      </c>
      <c r="F20" s="7" t="s">
        <v>47</v>
      </c>
    </row>
    <row r="21" spans="1:7" x14ac:dyDescent="0.25">
      <c r="B21" s="10" t="s">
        <v>71</v>
      </c>
      <c r="C21" s="9"/>
      <c r="D21" s="9"/>
      <c r="E21" s="9"/>
      <c r="F21" s="9"/>
    </row>
    <row r="22" spans="1:7" hidden="1" outlineLevel="1" x14ac:dyDescent="0.25">
      <c r="B22" s="8" t="s">
        <v>54</v>
      </c>
      <c r="C22" s="8" t="s">
        <v>2</v>
      </c>
      <c r="D22" s="8">
        <v>20</v>
      </c>
      <c r="E22" s="8">
        <v>10</v>
      </c>
      <c r="F22" s="8" t="s">
        <v>47</v>
      </c>
    </row>
    <row r="23" spans="1:7" hidden="1" outlineLevel="1" x14ac:dyDescent="0.25">
      <c r="B23" s="8" t="s">
        <v>55</v>
      </c>
      <c r="C23" s="8" t="s">
        <v>3</v>
      </c>
      <c r="D23" s="8">
        <v>0</v>
      </c>
      <c r="E23" s="8">
        <v>20</v>
      </c>
      <c r="F23" s="8" t="s">
        <v>47</v>
      </c>
    </row>
    <row r="24" spans="1:7" ht="15.75" hidden="1" outlineLevel="1" thickBot="1" x14ac:dyDescent="0.3">
      <c r="B24" s="6" t="s">
        <v>56</v>
      </c>
      <c r="C24" s="6" t="s">
        <v>4</v>
      </c>
      <c r="D24" s="6">
        <v>0</v>
      </c>
      <c r="E24" s="6">
        <v>30</v>
      </c>
      <c r="F24" s="6" t="s">
        <v>47</v>
      </c>
    </row>
    <row r="25" spans="1:7" collapsed="1" x14ac:dyDescent="0.25"/>
    <row r="28" spans="1:7" ht="15.75" thickBot="1" x14ac:dyDescent="0.3">
      <c r="A28" t="s">
        <v>48</v>
      </c>
    </row>
    <row r="29" spans="1:7" ht="15.75" thickBot="1" x14ac:dyDescent="0.3">
      <c r="B29" s="7" t="s">
        <v>42</v>
      </c>
      <c r="C29" s="7" t="s">
        <v>43</v>
      </c>
      <c r="D29" s="7" t="s">
        <v>49</v>
      </c>
      <c r="E29" s="7" t="s">
        <v>50</v>
      </c>
      <c r="F29" s="7" t="s">
        <v>51</v>
      </c>
      <c r="G29" s="7" t="s">
        <v>52</v>
      </c>
    </row>
    <row r="30" spans="1:7" x14ac:dyDescent="0.25">
      <c r="B30" s="8" t="s">
        <v>57</v>
      </c>
      <c r="C30" s="8" t="s">
        <v>21</v>
      </c>
      <c r="D30" s="8">
        <v>60</v>
      </c>
      <c r="E30" s="8" t="s">
        <v>58</v>
      </c>
      <c r="F30" s="8" t="s">
        <v>59</v>
      </c>
      <c r="G30" s="8">
        <v>3.9999999999999929</v>
      </c>
    </row>
    <row r="31" spans="1:7" x14ac:dyDescent="0.25">
      <c r="B31" s="8" t="s">
        <v>60</v>
      </c>
      <c r="C31" s="8" t="s">
        <v>11</v>
      </c>
      <c r="D31" s="8">
        <v>5276.8228463282185</v>
      </c>
      <c r="E31" s="8" t="s">
        <v>61</v>
      </c>
      <c r="F31" s="8" t="s">
        <v>59</v>
      </c>
      <c r="G31" s="8">
        <v>1203.1771536717815</v>
      </c>
    </row>
    <row r="32" spans="1:7" x14ac:dyDescent="0.25">
      <c r="B32" s="8" t="s">
        <v>54</v>
      </c>
      <c r="C32" s="8" t="s">
        <v>2</v>
      </c>
      <c r="D32" s="8">
        <v>10</v>
      </c>
      <c r="E32" s="8" t="s">
        <v>62</v>
      </c>
      <c r="F32" s="8" t="s">
        <v>70</v>
      </c>
      <c r="G32" s="8">
        <v>0</v>
      </c>
    </row>
    <row r="33" spans="2:7" x14ac:dyDescent="0.25">
      <c r="B33" s="8" t="s">
        <v>55</v>
      </c>
      <c r="C33" s="8" t="s">
        <v>3</v>
      </c>
      <c r="D33" s="8">
        <v>20</v>
      </c>
      <c r="E33" s="8" t="s">
        <v>63</v>
      </c>
      <c r="F33" s="8" t="s">
        <v>70</v>
      </c>
      <c r="G33" s="8">
        <v>0</v>
      </c>
    </row>
    <row r="34" spans="2:7" x14ac:dyDescent="0.25">
      <c r="B34" s="8" t="s">
        <v>56</v>
      </c>
      <c r="C34" s="8" t="s">
        <v>4</v>
      </c>
      <c r="D34" s="8">
        <v>30</v>
      </c>
      <c r="E34" s="8" t="s">
        <v>64</v>
      </c>
      <c r="F34" s="8" t="s">
        <v>70</v>
      </c>
      <c r="G34" s="8">
        <v>0</v>
      </c>
    </row>
    <row r="35" spans="2:7" ht="15.75" thickBot="1" x14ac:dyDescent="0.3">
      <c r="B35" s="6" t="s">
        <v>65</v>
      </c>
      <c r="C35" s="6"/>
      <c r="D35" s="6"/>
      <c r="E35" s="6"/>
      <c r="F35" s="6"/>
      <c r="G35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E638-4550-4578-AD93-BBAFED961797}">
  <dimension ref="A1:G33"/>
  <sheetViews>
    <sheetView showGridLines="0" topLeftCell="A6" workbookViewId="0"/>
  </sheetViews>
  <sheetFormatPr defaultRowHeight="15" x14ac:dyDescent="0.25"/>
  <cols>
    <col min="1" max="1" width="2.28515625" customWidth="1"/>
    <col min="2" max="2" width="17" bestFit="1" customWidth="1"/>
    <col min="3" max="3" width="12.5703125" bestFit="1" customWidth="1"/>
    <col min="4" max="4" width="13.5703125" bestFit="1" customWidth="1"/>
    <col min="5" max="5" width="12" bestFit="1" customWidth="1"/>
    <col min="6" max="6" width="11.28515625" bestFit="1" customWidth="1"/>
    <col min="7" max="7" width="12" bestFit="1" customWidth="1"/>
  </cols>
  <sheetData>
    <row r="1" spans="1:5" x14ac:dyDescent="0.25">
      <c r="A1" s="5" t="s">
        <v>29</v>
      </c>
    </row>
    <row r="2" spans="1:5" x14ac:dyDescent="0.25">
      <c r="A2" s="5" t="s">
        <v>30</v>
      </c>
    </row>
    <row r="3" spans="1:5" x14ac:dyDescent="0.25">
      <c r="A3" s="5" t="s">
        <v>121</v>
      </c>
    </row>
    <row r="4" spans="1:5" x14ac:dyDescent="0.25">
      <c r="A4" s="5" t="s">
        <v>32</v>
      </c>
    </row>
    <row r="5" spans="1:5" x14ac:dyDescent="0.25">
      <c r="A5" s="5" t="s">
        <v>33</v>
      </c>
    </row>
    <row r="6" spans="1:5" x14ac:dyDescent="0.25">
      <c r="A6" s="5"/>
      <c r="B6" t="s">
        <v>34</v>
      </c>
    </row>
    <row r="7" spans="1:5" x14ac:dyDescent="0.25">
      <c r="A7" s="5"/>
      <c r="B7" t="s">
        <v>122</v>
      </c>
    </row>
    <row r="8" spans="1:5" x14ac:dyDescent="0.25">
      <c r="A8" s="5"/>
      <c r="B8" t="s">
        <v>69</v>
      </c>
    </row>
    <row r="9" spans="1:5" x14ac:dyDescent="0.25">
      <c r="A9" s="5" t="s">
        <v>37</v>
      </c>
    </row>
    <row r="10" spans="1:5" x14ac:dyDescent="0.25">
      <c r="B10" t="s">
        <v>38</v>
      </c>
    </row>
    <row r="11" spans="1:5" x14ac:dyDescent="0.25">
      <c r="B11" t="s">
        <v>39</v>
      </c>
    </row>
    <row r="12" spans="1:5" x14ac:dyDescent="0.25">
      <c r="B12" t="s">
        <v>40</v>
      </c>
    </row>
    <row r="14" spans="1:5" ht="15.75" thickBot="1" x14ac:dyDescent="0.3">
      <c r="A14" t="s">
        <v>41</v>
      </c>
    </row>
    <row r="15" spans="1:5" ht="15.75" thickBot="1" x14ac:dyDescent="0.3">
      <c r="B15" s="7" t="s">
        <v>42</v>
      </c>
      <c r="C15" s="7" t="s">
        <v>43</v>
      </c>
      <c r="D15" s="7" t="s">
        <v>44</v>
      </c>
      <c r="E15" s="7" t="s">
        <v>45</v>
      </c>
    </row>
    <row r="16" spans="1:5" ht="15.75" thickBot="1" x14ac:dyDescent="0.3">
      <c r="B16" s="6" t="s">
        <v>53</v>
      </c>
      <c r="C16" s="6" t="s">
        <v>20</v>
      </c>
      <c r="D16" s="6">
        <v>38227.058405064556</v>
      </c>
      <c r="E16" s="6">
        <v>42775.155387742139</v>
      </c>
    </row>
    <row r="19" spans="1:7" ht="15.75" thickBot="1" x14ac:dyDescent="0.3">
      <c r="A19" t="s">
        <v>46</v>
      </c>
    </row>
    <row r="20" spans="1:7" ht="15.75" thickBot="1" x14ac:dyDescent="0.3">
      <c r="B20" s="7" t="s">
        <v>42</v>
      </c>
      <c r="C20" s="7" t="s">
        <v>43</v>
      </c>
      <c r="D20" s="7" t="s">
        <v>44</v>
      </c>
      <c r="E20" s="7" t="s">
        <v>45</v>
      </c>
      <c r="F20" s="7" t="s">
        <v>47</v>
      </c>
    </row>
    <row r="21" spans="1:7" x14ac:dyDescent="0.25">
      <c r="B21" s="8" t="s">
        <v>54</v>
      </c>
      <c r="C21" s="8" t="s">
        <v>2</v>
      </c>
      <c r="D21" s="8">
        <v>7</v>
      </c>
      <c r="E21" s="8">
        <v>10</v>
      </c>
      <c r="F21" s="8" t="s">
        <v>47</v>
      </c>
    </row>
    <row r="22" spans="1:7" x14ac:dyDescent="0.25">
      <c r="B22" s="8" t="s">
        <v>55</v>
      </c>
      <c r="C22" s="8" t="s">
        <v>3</v>
      </c>
      <c r="D22" s="8">
        <v>20</v>
      </c>
      <c r="E22" s="8">
        <v>20</v>
      </c>
      <c r="F22" s="8" t="s">
        <v>47</v>
      </c>
    </row>
    <row r="23" spans="1:7" ht="15.75" thickBot="1" x14ac:dyDescent="0.3">
      <c r="B23" s="6" t="s">
        <v>56</v>
      </c>
      <c r="C23" s="6" t="s">
        <v>4</v>
      </c>
      <c r="D23" s="6">
        <v>30</v>
      </c>
      <c r="E23" s="6">
        <v>30</v>
      </c>
      <c r="F23" s="6" t="s">
        <v>47</v>
      </c>
    </row>
    <row r="26" spans="1:7" ht="15.75" thickBot="1" x14ac:dyDescent="0.3">
      <c r="A26" t="s">
        <v>48</v>
      </c>
    </row>
    <row r="27" spans="1:7" ht="15.75" thickBot="1" x14ac:dyDescent="0.3">
      <c r="B27" s="7" t="s">
        <v>42</v>
      </c>
      <c r="C27" s="7" t="s">
        <v>43</v>
      </c>
      <c r="D27" s="7" t="s">
        <v>49</v>
      </c>
      <c r="E27" s="7" t="s">
        <v>50</v>
      </c>
      <c r="F27" s="7" t="s">
        <v>51</v>
      </c>
      <c r="G27" s="7" t="s">
        <v>52</v>
      </c>
    </row>
    <row r="28" spans="1:7" x14ac:dyDescent="0.25">
      <c r="B28" s="8" t="s">
        <v>57</v>
      </c>
      <c r="C28" s="8" t="s">
        <v>21</v>
      </c>
      <c r="D28" s="8">
        <v>60</v>
      </c>
      <c r="E28" s="8" t="s">
        <v>58</v>
      </c>
      <c r="F28" s="8" t="s">
        <v>59</v>
      </c>
      <c r="G28" s="8">
        <v>4</v>
      </c>
    </row>
    <row r="29" spans="1:7" x14ac:dyDescent="0.25">
      <c r="B29" s="8" t="s">
        <v>60</v>
      </c>
      <c r="C29" s="8" t="s">
        <v>11</v>
      </c>
      <c r="D29" s="8">
        <v>5276.8228463282185</v>
      </c>
      <c r="E29" s="8" t="s">
        <v>61</v>
      </c>
      <c r="F29" s="8" t="s">
        <v>59</v>
      </c>
      <c r="G29" s="8">
        <v>1203.1771536717815</v>
      </c>
    </row>
    <row r="30" spans="1:7" x14ac:dyDescent="0.25">
      <c r="B30" s="8" t="s">
        <v>54</v>
      </c>
      <c r="C30" s="8" t="s">
        <v>2</v>
      </c>
      <c r="D30" s="8">
        <v>10</v>
      </c>
      <c r="E30" s="8" t="s">
        <v>62</v>
      </c>
      <c r="F30" s="8" t="s">
        <v>70</v>
      </c>
      <c r="G30" s="8">
        <v>0</v>
      </c>
    </row>
    <row r="31" spans="1:7" x14ac:dyDescent="0.25">
      <c r="B31" s="8" t="s">
        <v>55</v>
      </c>
      <c r="C31" s="8" t="s">
        <v>3</v>
      </c>
      <c r="D31" s="8">
        <v>20</v>
      </c>
      <c r="E31" s="8" t="s">
        <v>63</v>
      </c>
      <c r="F31" s="8" t="s">
        <v>70</v>
      </c>
      <c r="G31" s="8">
        <v>0</v>
      </c>
    </row>
    <row r="32" spans="1:7" x14ac:dyDescent="0.25">
      <c r="B32" s="8" t="s">
        <v>56</v>
      </c>
      <c r="C32" s="8" t="s">
        <v>4</v>
      </c>
      <c r="D32" s="8">
        <v>30</v>
      </c>
      <c r="E32" s="8" t="s">
        <v>64</v>
      </c>
      <c r="F32" s="8" t="s">
        <v>70</v>
      </c>
      <c r="G32" s="8">
        <v>0</v>
      </c>
    </row>
    <row r="33" spans="2:7" ht="15.75" thickBot="1" x14ac:dyDescent="0.3">
      <c r="B33" s="6" t="s">
        <v>65</v>
      </c>
      <c r="C33" s="6"/>
      <c r="D33" s="6"/>
      <c r="E33" s="6"/>
      <c r="F33" s="6"/>
      <c r="G33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19FE-79F3-4F8F-A3C4-E7E7F8031B48}">
  <dimension ref="A1:E84"/>
  <sheetViews>
    <sheetView workbookViewId="0">
      <selection activeCell="E55" sqref="E55"/>
    </sheetView>
  </sheetViews>
  <sheetFormatPr defaultRowHeight="15" x14ac:dyDescent="0.25"/>
  <cols>
    <col min="1" max="1" width="34.28515625" customWidth="1"/>
    <col min="2" max="2" width="11.140625" customWidth="1"/>
    <col min="3" max="3" width="12.7109375" customWidth="1"/>
    <col min="4" max="4" width="14.140625" customWidth="1"/>
    <col min="5" max="5" width="13.85546875" customWidth="1"/>
  </cols>
  <sheetData>
    <row r="1" spans="1:5" x14ac:dyDescent="0.25">
      <c r="A1" s="14" t="s">
        <v>123</v>
      </c>
    </row>
    <row r="2" spans="1:5" x14ac:dyDescent="0.25">
      <c r="A2" s="11"/>
    </row>
    <row r="3" spans="1:5" ht="30" x14ac:dyDescent="0.25">
      <c r="A3" s="5" t="s">
        <v>137</v>
      </c>
      <c r="B3" s="11" t="s">
        <v>124</v>
      </c>
      <c r="C3" s="11" t="s">
        <v>138</v>
      </c>
      <c r="D3" s="11" t="s">
        <v>125</v>
      </c>
      <c r="E3" s="11"/>
    </row>
    <row r="4" spans="1:5" x14ac:dyDescent="0.25">
      <c r="A4">
        <v>0</v>
      </c>
      <c r="B4">
        <v>0</v>
      </c>
      <c r="C4">
        <v>0</v>
      </c>
      <c r="D4" t="s">
        <v>126</v>
      </c>
    </row>
    <row r="5" spans="1:5" x14ac:dyDescent="0.25">
      <c r="A5">
        <v>1</v>
      </c>
      <c r="B5">
        <f t="shared" ref="B5:B24" si="0">(MIN(C5,FARMER_HOURS)*FARMER_RATE)+(MAX(0,C5-FARMER_HOURS)*TEMP_WORKER_RATE)+(A5*TOMATO_FERTILIZER_PER_BED)
+(MAX(0,C5-FARMER_HOURS)*TEMP_WORKER_RATE)
+(A5*TOMATO_FERTILIZER_PER_BED)</f>
        <v>5197.2800000000007</v>
      </c>
      <c r="C5">
        <f t="shared" ref="C5:C24" si="1">A5*TOMATO_HRS_PER_BED*WEEKS*(1+TOMATO_DIM_PCT)^A5</f>
        <v>99.000000000000014</v>
      </c>
      <c r="D5" t="s">
        <v>126</v>
      </c>
    </row>
    <row r="6" spans="1:5" ht="16.5" x14ac:dyDescent="0.25">
      <c r="A6">
        <v>2</v>
      </c>
      <c r="B6">
        <f t="shared" si="0"/>
        <v>11082.016000000001</v>
      </c>
      <c r="C6">
        <f t="shared" si="1"/>
        <v>217.80000000000004</v>
      </c>
      <c r="D6" s="4">
        <f>B6-B5</f>
        <v>5884.7360000000008</v>
      </c>
    </row>
    <row r="7" spans="1:5" ht="16.5" x14ac:dyDescent="0.25">
      <c r="A7">
        <v>3</v>
      </c>
      <c r="B7">
        <f t="shared" si="0"/>
        <v>17757.326400000005</v>
      </c>
      <c r="C7">
        <f t="shared" si="1"/>
        <v>359.37000000000012</v>
      </c>
      <c r="D7" s="4">
        <f t="shared" ref="D7:D24" si="2">B7-B6</f>
        <v>6675.3104000000039</v>
      </c>
    </row>
    <row r="8" spans="1:5" ht="16.5" x14ac:dyDescent="0.25">
      <c r="A8">
        <v>4</v>
      </c>
      <c r="B8">
        <f t="shared" si="0"/>
        <v>25340.078720000005</v>
      </c>
      <c r="C8">
        <f t="shared" si="1"/>
        <v>527.07600000000014</v>
      </c>
      <c r="D8" s="4">
        <f t="shared" si="2"/>
        <v>7582.7523199999996</v>
      </c>
    </row>
    <row r="9" spans="1:5" ht="16.5" x14ac:dyDescent="0.25">
      <c r="A9">
        <v>5</v>
      </c>
      <c r="B9">
        <f t="shared" si="0"/>
        <v>33962.608240000001</v>
      </c>
      <c r="C9">
        <f t="shared" si="1"/>
        <v>724.72950000000026</v>
      </c>
      <c r="D9" s="4">
        <f t="shared" si="2"/>
        <v>8622.5295199999964</v>
      </c>
    </row>
    <row r="10" spans="1:5" ht="16.5" x14ac:dyDescent="0.25">
      <c r="A10">
        <v>6</v>
      </c>
      <c r="B10">
        <f t="shared" si="0"/>
        <v>43774.642876800011</v>
      </c>
      <c r="C10">
        <f t="shared" si="1"/>
        <v>956.64294000000041</v>
      </c>
      <c r="D10" s="4">
        <f t="shared" si="2"/>
        <v>9812.03463680001</v>
      </c>
    </row>
    <row r="11" spans="1:5" ht="16.5" x14ac:dyDescent="0.25">
      <c r="A11">
        <v>7</v>
      </c>
      <c r="B11">
        <f t="shared" si="0"/>
        <v>54945.458358560019</v>
      </c>
      <c r="C11">
        <f t="shared" si="1"/>
        <v>1227.6917730000007</v>
      </c>
      <c r="D11" s="4">
        <f t="shared" si="2"/>
        <v>11170.815481760008</v>
      </c>
    </row>
    <row r="12" spans="1:5" ht="16.5" x14ac:dyDescent="0.25">
      <c r="A12">
        <v>8</v>
      </c>
      <c r="B12">
        <f t="shared" si="0"/>
        <v>67666.290507904021</v>
      </c>
      <c r="C12">
        <f t="shared" si="1"/>
        <v>1543.3839432000009</v>
      </c>
      <c r="D12" s="4">
        <f t="shared" si="2"/>
        <v>12720.832149344002</v>
      </c>
    </row>
    <row r="13" spans="1:5" ht="16.5" x14ac:dyDescent="0.25">
      <c r="A13">
        <v>9</v>
      </c>
      <c r="B13">
        <f t="shared" si="0"/>
        <v>82153.034503531235</v>
      </c>
      <c r="C13">
        <f t="shared" si="1"/>
        <v>1909.9376297100011</v>
      </c>
      <c r="D13" s="4">
        <f t="shared" si="2"/>
        <v>14486.743995627214</v>
      </c>
    </row>
    <row r="14" spans="1:5" ht="16.5" x14ac:dyDescent="0.25">
      <c r="A14">
        <v>10</v>
      </c>
      <c r="B14">
        <f t="shared" si="0"/>
        <v>98649.264393204867</v>
      </c>
      <c r="C14">
        <f t="shared" si="1"/>
        <v>2334.3682140900019</v>
      </c>
      <c r="D14" s="4">
        <f t="shared" si="2"/>
        <v>16496.229889673632</v>
      </c>
    </row>
    <row r="15" spans="1:5" ht="16.5" x14ac:dyDescent="0.25">
      <c r="A15">
        <v>11</v>
      </c>
      <c r="B15">
        <f t="shared" si="0"/>
        <v>117429.6099157779</v>
      </c>
      <c r="C15">
        <f t="shared" si="1"/>
        <v>2824.5855390489023</v>
      </c>
      <c r="D15" s="4">
        <f t="shared" si="2"/>
        <v>18780.345522573029</v>
      </c>
    </row>
    <row r="16" spans="1:5" ht="16.5" x14ac:dyDescent="0.25">
      <c r="A16">
        <v>12</v>
      </c>
      <c r="B16">
        <f t="shared" si="0"/>
        <v>138803.53189893346</v>
      </c>
      <c r="C16">
        <f t="shared" si="1"/>
        <v>3389.502646858683</v>
      </c>
      <c r="D16" s="4">
        <f t="shared" si="2"/>
        <v>21373.921983155567</v>
      </c>
    </row>
    <row r="17" spans="1:4" ht="16.5" x14ac:dyDescent="0.25">
      <c r="A17">
        <v>13</v>
      </c>
      <c r="B17">
        <f t="shared" si="0"/>
        <v>163119.54217956238</v>
      </c>
      <c r="C17">
        <f t="shared" si="1"/>
        <v>4039.1573208399304</v>
      </c>
      <c r="D17" s="4">
        <f t="shared" si="2"/>
        <v>24316.010280628921</v>
      </c>
    </row>
    <row r="18" spans="1:4" ht="16.5" x14ac:dyDescent="0.25">
      <c r="A18">
        <v>14</v>
      </c>
      <c r="B18">
        <f t="shared" si="0"/>
        <v>190769.91919732775</v>
      </c>
      <c r="C18">
        <f t="shared" si="1"/>
        <v>4784.8479031488414</v>
      </c>
      <c r="D18" s="4">
        <f t="shared" si="2"/>
        <v>27650.377017765364</v>
      </c>
    </row>
    <row r="19" spans="1:4" ht="16.5" x14ac:dyDescent="0.25">
      <c r="A19">
        <v>15</v>
      </c>
      <c r="B19">
        <f t="shared" si="0"/>
        <v>222195.97619685059</v>
      </c>
      <c r="C19">
        <f t="shared" si="1"/>
        <v>5639.2850287111351</v>
      </c>
      <c r="D19" s="4">
        <f t="shared" si="2"/>
        <v>31426.056999522843</v>
      </c>
    </row>
    <row r="20" spans="1:4" ht="16.5" x14ac:dyDescent="0.25">
      <c r="A20">
        <v>16</v>
      </c>
      <c r="B20">
        <f t="shared" si="0"/>
        <v>257893.94540430469</v>
      </c>
      <c r="C20">
        <f t="shared" si="1"/>
        <v>6616.761100354398</v>
      </c>
      <c r="D20" s="4">
        <f t="shared" si="2"/>
        <v>35697.969207454094</v>
      </c>
    </row>
    <row r="21" spans="1:4" ht="16.5" x14ac:dyDescent="0.25">
      <c r="A21">
        <v>17</v>
      </c>
      <c r="B21">
        <f t="shared" si="0"/>
        <v>298421.54869128112</v>
      </c>
      <c r="C21">
        <f t="shared" si="1"/>
        <v>7733.3395360392033</v>
      </c>
      <c r="D21" s="4">
        <f t="shared" si="2"/>
        <v>40527.603286976431</v>
      </c>
    </row>
    <row r="22" spans="1:4" ht="16.5" x14ac:dyDescent="0.25">
      <c r="A22">
        <v>18</v>
      </c>
      <c r="B22">
        <f t="shared" si="0"/>
        <v>344405.33318160975</v>
      </c>
      <c r="C22">
        <f t="shared" si="1"/>
        <v>9007.0660478574246</v>
      </c>
      <c r="D22" s="4">
        <f t="shared" si="2"/>
        <v>45983.784490328631</v>
      </c>
    </row>
    <row r="23" spans="1:4" ht="16.5" x14ac:dyDescent="0.25">
      <c r="A23">
        <v>19</v>
      </c>
      <c r="B23">
        <f t="shared" si="0"/>
        <v>396548.85908309149</v>
      </c>
      <c r="C23">
        <f t="shared" si="1"/>
        <v>10458.204466678902</v>
      </c>
      <c r="D23" s="4">
        <f t="shared" si="2"/>
        <v>52143.525901481742</v>
      </c>
    </row>
    <row r="24" spans="1:4" ht="16.5" x14ac:dyDescent="0.25">
      <c r="A24">
        <v>20</v>
      </c>
      <c r="B24">
        <f t="shared" si="0"/>
        <v>455641.83683305327</v>
      </c>
      <c r="C24">
        <f t="shared" si="1"/>
        <v>12109.499908786096</v>
      </c>
      <c r="D24" s="4">
        <f t="shared" si="2"/>
        <v>59092.977749961778</v>
      </c>
    </row>
    <row r="26" spans="1:4" x14ac:dyDescent="0.25">
      <c r="A26" s="14" t="s">
        <v>127</v>
      </c>
    </row>
    <row r="27" spans="1:4" x14ac:dyDescent="0.25">
      <c r="A27" s="11"/>
    </row>
    <row r="28" spans="1:4" x14ac:dyDescent="0.25">
      <c r="A28" s="5" t="s">
        <v>137</v>
      </c>
      <c r="B28" s="5" t="s">
        <v>124</v>
      </c>
      <c r="C28" s="5" t="s">
        <v>138</v>
      </c>
      <c r="D28" s="5" t="s">
        <v>125</v>
      </c>
    </row>
    <row r="29" spans="1:4" x14ac:dyDescent="0.25">
      <c r="A29" s="5">
        <v>0</v>
      </c>
      <c r="B29" s="5">
        <v>0</v>
      </c>
      <c r="C29" s="5">
        <v>0</v>
      </c>
      <c r="D29" s="5" t="s">
        <v>126</v>
      </c>
    </row>
    <row r="30" spans="1:4" x14ac:dyDescent="0.25">
      <c r="A30">
        <v>1</v>
      </c>
      <c r="B30">
        <f t="shared" ref="B30:B49" si="3">(MIN(C30,FARMER_HOURS)*FARMER_RATE)+(MAX(0,C30-FARMER_HOURS)*TEMP_WORKER_RATE)+(A30*CARROT_FERTILIZER_PER_BED)</f>
        <v>1507.2129439999999</v>
      </c>
      <c r="C30">
        <f t="shared" ref="C30:C49" si="4">A30*CARROT_HRS_PER_BED*WEEKS*(1+CARROT_DIM_PCT)^A30</f>
        <v>30.737699999999997</v>
      </c>
      <c r="D30" t="s">
        <v>126</v>
      </c>
    </row>
    <row r="31" spans="1:4" ht="16.5" x14ac:dyDescent="0.25">
      <c r="A31">
        <v>2</v>
      </c>
      <c r="B31">
        <f t="shared" si="3"/>
        <v>3067.7865351999994</v>
      </c>
      <c r="C31">
        <f t="shared" si="4"/>
        <v>63.012284999999991</v>
      </c>
      <c r="D31" s="4">
        <f>B31-B30</f>
        <v>1560.5735911999996</v>
      </c>
    </row>
    <row r="32" spans="1:4" ht="16.5" x14ac:dyDescent="0.25">
      <c r="A32">
        <v>3</v>
      </c>
      <c r="B32">
        <f t="shared" si="3"/>
        <v>4683.7217978699991</v>
      </c>
      <c r="C32">
        <f t="shared" si="4"/>
        <v>96.881388187499979</v>
      </c>
      <c r="D32" s="4">
        <f t="shared" ref="D32:D49" si="5">B32-B31</f>
        <v>1615.9352626699997</v>
      </c>
    </row>
    <row r="33" spans="1:4" ht="16.5" x14ac:dyDescent="0.25">
      <c r="A33">
        <v>4</v>
      </c>
      <c r="B33">
        <f t="shared" si="3"/>
        <v>6357.0864570889989</v>
      </c>
      <c r="C33">
        <f t="shared" si="4"/>
        <v>132.40456385624998</v>
      </c>
      <c r="D33" s="4">
        <f t="shared" si="5"/>
        <v>1673.3646592189998</v>
      </c>
    </row>
    <row r="34" spans="1:4" ht="16.5" x14ac:dyDescent="0.25">
      <c r="A34">
        <v>5</v>
      </c>
      <c r="B34">
        <f t="shared" si="3"/>
        <v>8090.0170231452794</v>
      </c>
      <c r="C34">
        <f t="shared" si="4"/>
        <v>169.64334744082026</v>
      </c>
      <c r="D34" s="4">
        <f t="shared" si="5"/>
        <v>1732.9305660562804</v>
      </c>
    </row>
    <row r="35" spans="1:4" ht="16.5" x14ac:dyDescent="0.25">
      <c r="A35">
        <v>6</v>
      </c>
      <c r="B35">
        <f t="shared" si="3"/>
        <v>9884.7209384686921</v>
      </c>
      <c r="C35">
        <f t="shared" si="4"/>
        <v>208.66131735220887</v>
      </c>
      <c r="D35" s="4">
        <f t="shared" si="5"/>
        <v>1794.7039153234127</v>
      </c>
    </row>
    <row r="36" spans="1:4" ht="16.5" x14ac:dyDescent="0.25">
      <c r="A36">
        <v>7</v>
      </c>
      <c r="B36">
        <f t="shared" si="3"/>
        <v>11743.478788918812</v>
      </c>
      <c r="C36">
        <f t="shared" si="4"/>
        <v>249.52415866701648</v>
      </c>
      <c r="D36" s="4">
        <f t="shared" si="5"/>
        <v>1858.7578504501198</v>
      </c>
    </row>
    <row r="37" spans="1:4" ht="16.5" x14ac:dyDescent="0.25">
      <c r="A37">
        <v>8</v>
      </c>
      <c r="B37">
        <f t="shared" si="3"/>
        <v>13668.646581304893</v>
      </c>
      <c r="C37">
        <f t="shared" si="4"/>
        <v>292.29972872421928</v>
      </c>
      <c r="D37" s="4">
        <f t="shared" si="5"/>
        <v>1925.1677923860807</v>
      </c>
    </row>
    <row r="38" spans="1:4" ht="16.5" x14ac:dyDescent="0.25">
      <c r="A38">
        <v>9</v>
      </c>
      <c r="B38">
        <f t="shared" si="3"/>
        <v>15662.658089067203</v>
      </c>
      <c r="C38">
        <f t="shared" si="4"/>
        <v>337.05812468511533</v>
      </c>
      <c r="D38" s="4">
        <f t="shared" si="5"/>
        <v>1994.0115077623104</v>
      </c>
    </row>
    <row r="39" spans="1:4" ht="16.5" x14ac:dyDescent="0.25">
      <c r="A39">
        <v>10</v>
      </c>
      <c r="B39">
        <f t="shared" si="3"/>
        <v>17728.027268104313</v>
      </c>
      <c r="C39">
        <f t="shared" si="4"/>
        <v>383.87175311360357</v>
      </c>
      <c r="D39" s="4">
        <f t="shared" si="5"/>
        <v>2065.3691790371104</v>
      </c>
    </row>
    <row r="40" spans="1:4" ht="16.5" x14ac:dyDescent="0.25">
      <c r="A40">
        <v>11</v>
      </c>
      <c r="B40">
        <f t="shared" si="3"/>
        <v>19867.350744787615</v>
      </c>
      <c r="C40">
        <f t="shared" si="4"/>
        <v>432.81540163558799</v>
      </c>
      <c r="D40" s="4">
        <f t="shared" si="5"/>
        <v>2139.3234766833011</v>
      </c>
    </row>
    <row r="41" spans="1:4" ht="16.5" x14ac:dyDescent="0.25">
      <c r="A41">
        <v>12</v>
      </c>
      <c r="B41">
        <f t="shared" si="3"/>
        <v>22083.310378262511</v>
      </c>
      <c r="C41">
        <f t="shared" si="4"/>
        <v>483.96631273797556</v>
      </c>
      <c r="D41" s="4">
        <f t="shared" si="5"/>
        <v>2215.9596334748967</v>
      </c>
    </row>
    <row r="42" spans="1:4" ht="16.5" x14ac:dyDescent="0.25">
      <c r="A42">
        <v>13</v>
      </c>
      <c r="B42">
        <f t="shared" si="3"/>
        <v>24378.675899195663</v>
      </c>
      <c r="C42">
        <f t="shared" si="4"/>
        <v>537.4042597694604</v>
      </c>
      <c r="D42" s="4">
        <f t="shared" si="5"/>
        <v>2295.3655209331519</v>
      </c>
    </row>
    <row r="43" spans="1:4" ht="16.5" x14ac:dyDescent="0.25">
      <c r="A43">
        <v>14</v>
      </c>
      <c r="B43">
        <f t="shared" si="3"/>
        <v>26756.30762718906</v>
      </c>
      <c r="C43">
        <f t="shared" si="4"/>
        <v>593.2116252070582</v>
      </c>
      <c r="D43" s="4">
        <f t="shared" si="5"/>
        <v>2377.6317279933974</v>
      </c>
    </row>
    <row r="44" spans="1:4" ht="16.5" x14ac:dyDescent="0.25">
      <c r="A44">
        <v>15</v>
      </c>
      <c r="B44">
        <f t="shared" si="3"/>
        <v>29219.15926914513</v>
      </c>
      <c r="C44">
        <f t="shared" si="4"/>
        <v>651.47348125418</v>
      </c>
      <c r="D44" s="4">
        <f t="shared" si="5"/>
        <v>2462.8516419560692</v>
      </c>
    </row>
    <row r="45" spans="1:4" ht="16.5" x14ac:dyDescent="0.25">
      <c r="A45">
        <v>16</v>
      </c>
      <c r="B45">
        <f t="shared" si="3"/>
        <v>31770.280800932007</v>
      </c>
      <c r="C45">
        <f t="shared" si="4"/>
        <v>712.27767283790342</v>
      </c>
      <c r="D45" s="4">
        <f t="shared" si="5"/>
        <v>2551.1215317868773</v>
      </c>
    </row>
    <row r="46" spans="1:4" ht="16.5" x14ac:dyDescent="0.25">
      <c r="A46">
        <v>17</v>
      </c>
      <c r="B46">
        <f t="shared" si="3"/>
        <v>33445.6107173825</v>
      </c>
      <c r="C46">
        <f t="shared" si="4"/>
        <v>775.71490307502916</v>
      </c>
      <c r="D46" s="4">
        <f t="shared" si="5"/>
        <v>1675.3299164504933</v>
      </c>
    </row>
    <row r="47" spans="1:4" ht="16.5" x14ac:dyDescent="0.25">
      <c r="A47">
        <v>18</v>
      </c>
      <c r="B47">
        <f t="shared" si="3"/>
        <v>35034.216337394537</v>
      </c>
      <c r="C47">
        <f t="shared" si="4"/>
        <v>841.87882127848752</v>
      </c>
      <c r="D47" s="4">
        <f t="shared" si="5"/>
        <v>1588.6056200120365</v>
      </c>
    </row>
    <row r="48" spans="1:4" ht="16.5" x14ac:dyDescent="0.25">
      <c r="A48">
        <v>19</v>
      </c>
      <c r="B48">
        <f t="shared" si="3"/>
        <v>36671.835731708816</v>
      </c>
      <c r="C48">
        <f t="shared" si="4"/>
        <v>910.86611357769698</v>
      </c>
      <c r="D48" s="4">
        <f t="shared" si="5"/>
        <v>1637.6193943142789</v>
      </c>
    </row>
    <row r="49" spans="1:4" ht="16.5" x14ac:dyDescent="0.25">
      <c r="A49">
        <v>20</v>
      </c>
      <c r="B49">
        <f t="shared" si="3"/>
        <v>38360.20171052793</v>
      </c>
      <c r="C49">
        <f t="shared" si="4"/>
        <v>982.77659622856766</v>
      </c>
      <c r="D49" s="4">
        <f t="shared" si="5"/>
        <v>1688.3659788191144</v>
      </c>
    </row>
    <row r="51" spans="1:4" ht="16.5" x14ac:dyDescent="0.25">
      <c r="A51" s="15" t="s">
        <v>128</v>
      </c>
    </row>
    <row r="52" spans="1:4" ht="16.5" x14ac:dyDescent="0.25">
      <c r="A52" s="16"/>
    </row>
    <row r="53" spans="1:4" x14ac:dyDescent="0.25">
      <c r="A53" s="17" t="s">
        <v>137</v>
      </c>
      <c r="B53" s="5" t="s">
        <v>124</v>
      </c>
      <c r="C53" s="5" t="s">
        <v>138</v>
      </c>
      <c r="D53" s="5" t="s">
        <v>125</v>
      </c>
    </row>
    <row r="54" spans="1:4" x14ac:dyDescent="0.25">
      <c r="A54" s="17">
        <v>0</v>
      </c>
      <c r="B54" s="5">
        <v>0</v>
      </c>
      <c r="C54" s="5">
        <v>0</v>
      </c>
      <c r="D54" s="5" t="s">
        <v>126</v>
      </c>
    </row>
    <row r="55" spans="1:4" ht="16.5" x14ac:dyDescent="0.25">
      <c r="A55">
        <v>1</v>
      </c>
      <c r="B55">
        <f t="shared" ref="B55:B84" si="6">(MIN(C55,FARMER_HOURS)*FARMER_RATE)+(MAX(0,C55-FARMER_HOURS)*TEMP_WORKER_RATE)+(A55*MESCLUN_FERTILIZER_PER_BED)</f>
        <v>2461.9299999999998</v>
      </c>
      <c r="C55" s="4">
        <f t="shared" ref="C55:C84" si="7">A55*MESCLUN_HRS_PER_BED*WEEKS*(1+MESCLUN_DIM_PCT)^A55</f>
        <v>45.5625</v>
      </c>
      <c r="D55" t="s">
        <v>126</v>
      </c>
    </row>
    <row r="56" spans="1:4" ht="16.5" x14ac:dyDescent="0.25">
      <c r="A56">
        <v>2</v>
      </c>
      <c r="B56">
        <f t="shared" si="6"/>
        <v>4963.4082499999995</v>
      </c>
      <c r="C56" s="4">
        <f t="shared" si="7"/>
        <v>92.264062499999994</v>
      </c>
      <c r="D56" s="4">
        <f>B56-B55</f>
        <v>2501.4782499999997</v>
      </c>
    </row>
    <row r="57" spans="1:4" ht="16.5" x14ac:dyDescent="0.25">
      <c r="A57">
        <v>3</v>
      </c>
      <c r="B57">
        <f t="shared" si="6"/>
        <v>7505.1762796874991</v>
      </c>
      <c r="C57" s="4">
        <f t="shared" si="7"/>
        <v>140.12604492187498</v>
      </c>
      <c r="D57" s="4">
        <f t="shared" ref="D57:D84" si="8">B57-B56</f>
        <v>2541.7680296874996</v>
      </c>
    </row>
    <row r="58" spans="1:4" ht="16.5" x14ac:dyDescent="0.25">
      <c r="A58">
        <v>4</v>
      </c>
      <c r="B58">
        <f t="shared" si="6"/>
        <v>10087.987977578125</v>
      </c>
      <c r="C58" s="4">
        <f t="shared" si="7"/>
        <v>189.17016064453125</v>
      </c>
      <c r="D58" s="4">
        <f t="shared" si="8"/>
        <v>2582.8116978906255</v>
      </c>
    </row>
    <row r="59" spans="1:4" ht="16.5" x14ac:dyDescent="0.25">
      <c r="A59">
        <v>5</v>
      </c>
      <c r="B59">
        <f t="shared" si="6"/>
        <v>12712.609784122313</v>
      </c>
      <c r="C59" s="4">
        <f t="shared" si="7"/>
        <v>239.41848456573481</v>
      </c>
      <c r="D59" s="4">
        <f t="shared" si="8"/>
        <v>2624.6218065441881</v>
      </c>
    </row>
    <row r="60" spans="1:4" ht="16.5" x14ac:dyDescent="0.25">
      <c r="A60">
        <v>6</v>
      </c>
      <c r="B60">
        <f t="shared" si="6"/>
        <v>15379.820887708611</v>
      </c>
      <c r="C60" s="4">
        <f t="shared" si="7"/>
        <v>290.89345874736784</v>
      </c>
      <c r="D60" s="4">
        <f t="shared" si="8"/>
        <v>2667.2111035862981</v>
      </c>
    </row>
    <row r="61" spans="1:4" ht="16.5" x14ac:dyDescent="0.25">
      <c r="A61">
        <v>7</v>
      </c>
      <c r="B61">
        <f t="shared" si="6"/>
        <v>18090.413423605794</v>
      </c>
      <c r="C61" s="4">
        <f t="shared" si="7"/>
        <v>343.61789814532818</v>
      </c>
      <c r="D61" s="4">
        <f t="shared" si="8"/>
        <v>2710.5925358971836</v>
      </c>
    </row>
    <row r="62" spans="1:4" ht="16.5" x14ac:dyDescent="0.25">
      <c r="A62">
        <v>8</v>
      </c>
      <c r="B62">
        <f t="shared" si="6"/>
        <v>20845.192675886705</v>
      </c>
      <c r="C62" s="4">
        <f t="shared" si="7"/>
        <v>397.61499642530839</v>
      </c>
      <c r="D62" s="4">
        <f t="shared" si="8"/>
        <v>2754.7792522809104</v>
      </c>
    </row>
    <row r="63" spans="1:4" ht="16.5" x14ac:dyDescent="0.25">
      <c r="A63">
        <v>9</v>
      </c>
      <c r="B63">
        <f t="shared" si="6"/>
        <v>23644.9772823772</v>
      </c>
      <c r="C63" s="4">
        <f t="shared" si="7"/>
        <v>452.90833186570285</v>
      </c>
      <c r="D63" s="4">
        <f t="shared" si="8"/>
        <v>2799.7846064904952</v>
      </c>
    </row>
    <row r="64" spans="1:4" ht="16.5" x14ac:dyDescent="0.25">
      <c r="A64">
        <v>10</v>
      </c>
      <c r="B64">
        <f t="shared" si="6"/>
        <v>26490.599442674353</v>
      </c>
      <c r="C64" s="4">
        <f t="shared" si="7"/>
        <v>509.52187334891573</v>
      </c>
      <c r="D64" s="4">
        <f t="shared" si="8"/>
        <v>2845.6221602971527</v>
      </c>
    </row>
    <row r="65" spans="1:4" ht="16.5" x14ac:dyDescent="0.25">
      <c r="A65">
        <v>11</v>
      </c>
      <c r="B65">
        <f t="shared" si="6"/>
        <v>29382.905129278555</v>
      </c>
      <c r="C65" s="4">
        <f t="shared" si="7"/>
        <v>567.47998644235474</v>
      </c>
      <c r="D65" s="4">
        <f t="shared" si="8"/>
        <v>2892.3056866042025</v>
      </c>
    </row>
    <row r="66" spans="1:4" ht="16.5" x14ac:dyDescent="0.25">
      <c r="A66">
        <v>12</v>
      </c>
      <c r="B66">
        <f t="shared" si="6"/>
        <v>32322.754301884954</v>
      </c>
      <c r="C66" s="4">
        <f t="shared" si="7"/>
        <v>626.80743957041921</v>
      </c>
      <c r="D66" s="4">
        <f t="shared" si="8"/>
        <v>2939.8491726063985</v>
      </c>
    </row>
    <row r="67" spans="1:4" ht="16.5" x14ac:dyDescent="0.25">
      <c r="A67">
        <v>13</v>
      </c>
      <c r="B67">
        <f t="shared" si="6"/>
        <v>35311.021124880055</v>
      </c>
      <c r="C67" s="4">
        <f t="shared" si="7"/>
        <v>687.52941027880343</v>
      </c>
      <c r="D67" s="4">
        <f t="shared" si="8"/>
        <v>2988.2668229951014</v>
      </c>
    </row>
    <row r="68" spans="1:4" ht="16.5" x14ac:dyDescent="0.25">
      <c r="A68">
        <v>14</v>
      </c>
      <c r="B68">
        <f t="shared" si="6"/>
        <v>37833.497094045189</v>
      </c>
      <c r="C68" s="4">
        <f t="shared" si="7"/>
        <v>749.67149159246469</v>
      </c>
      <c r="D68" s="4">
        <f t="shared" si="8"/>
        <v>2522.4759691651343</v>
      </c>
    </row>
    <row r="69" spans="1:4" ht="16.5" x14ac:dyDescent="0.25">
      <c r="A69">
        <v>15</v>
      </c>
      <c r="B69">
        <f t="shared" si="6"/>
        <v>39817.388365415085</v>
      </c>
      <c r="C69" s="4">
        <f t="shared" si="7"/>
        <v>813.25969846861108</v>
      </c>
      <c r="D69" s="4">
        <f t="shared" si="8"/>
        <v>1983.8912713698955</v>
      </c>
    </row>
    <row r="70" spans="1:4" ht="16.5" x14ac:dyDescent="0.25">
      <c r="A70">
        <v>16</v>
      </c>
      <c r="B70">
        <f t="shared" si="6"/>
        <v>41826.843434648297</v>
      </c>
      <c r="C70" s="4">
        <f t="shared" si="7"/>
        <v>878.32047434610013</v>
      </c>
      <c r="D70" s="4">
        <f t="shared" si="8"/>
        <v>2009.4550692332123</v>
      </c>
    </row>
    <row r="71" spans="1:4" ht="16.5" x14ac:dyDescent="0.25">
      <c r="A71">
        <v>17</v>
      </c>
      <c r="B71">
        <f t="shared" si="6"/>
        <v>43862.328913680234</v>
      </c>
      <c r="C71" s="4">
        <f t="shared" si="7"/>
        <v>944.88069779264049</v>
      </c>
      <c r="D71" s="4">
        <f t="shared" si="8"/>
        <v>2035.4854790319368</v>
      </c>
    </row>
    <row r="72" spans="1:4" ht="16.5" x14ac:dyDescent="0.25">
      <c r="A72">
        <v>18</v>
      </c>
      <c r="B72">
        <f t="shared" si="6"/>
        <v>45924.319085401308</v>
      </c>
      <c r="C72" s="4">
        <f t="shared" si="7"/>
        <v>1012.9676892512279</v>
      </c>
      <c r="D72" s="4">
        <f t="shared" si="8"/>
        <v>2061.9901717210741</v>
      </c>
    </row>
    <row r="73" spans="1:4" ht="16.5" x14ac:dyDescent="0.25">
      <c r="A73">
        <v>19</v>
      </c>
      <c r="B73">
        <f t="shared" si="6"/>
        <v>48013.296022522649</v>
      </c>
      <c r="C73" s="4">
        <f t="shared" si="7"/>
        <v>1082.6092178872495</v>
      </c>
      <c r="D73" s="4">
        <f t="shared" si="8"/>
        <v>2088.9769371213406</v>
      </c>
    </row>
    <row r="74" spans="1:4" ht="16.5" x14ac:dyDescent="0.25">
      <c r="A74">
        <v>20</v>
      </c>
      <c r="B74">
        <f t="shared" si="6"/>
        <v>50129.749708214935</v>
      </c>
      <c r="C74" s="4">
        <f t="shared" si="7"/>
        <v>1153.8335085377266</v>
      </c>
      <c r="D74" s="4">
        <f t="shared" si="8"/>
        <v>2116.4536856922859</v>
      </c>
    </row>
    <row r="75" spans="1:4" ht="16.5" x14ac:dyDescent="0.25">
      <c r="A75">
        <v>21</v>
      </c>
      <c r="B75">
        <f t="shared" si="6"/>
        <v>52274.178158545998</v>
      </c>
      <c r="C75" s="4">
        <f t="shared" si="7"/>
        <v>1226.6692487641703</v>
      </c>
      <c r="D75" s="4">
        <f t="shared" si="8"/>
        <v>2144.4284503310628</v>
      </c>
    </row>
    <row r="76" spans="1:4" ht="16.5" x14ac:dyDescent="0.25">
      <c r="A76">
        <v>22</v>
      </c>
      <c r="B76">
        <f t="shared" si="6"/>
        <v>54447.087546743431</v>
      </c>
      <c r="C76" s="4">
        <f t="shared" si="7"/>
        <v>1301.1455960105666</v>
      </c>
      <c r="D76" s="4">
        <f t="shared" si="8"/>
        <v>2172.9093881974331</v>
      </c>
    </row>
    <row r="77" spans="1:4" ht="16.5" x14ac:dyDescent="0.25">
      <c r="A77">
        <v>23</v>
      </c>
      <c r="B77">
        <f t="shared" si="6"/>
        <v>56648.99232930853</v>
      </c>
      <c r="C77" s="4">
        <f t="shared" si="7"/>
        <v>1377.292184868003</v>
      </c>
      <c r="D77" s="4">
        <f t="shared" si="8"/>
        <v>2201.9047825650996</v>
      </c>
    </row>
    <row r="78" spans="1:4" ht="16.5" x14ac:dyDescent="0.25">
      <c r="A78">
        <v>24</v>
      </c>
      <c r="B78">
        <f t="shared" si="6"/>
        <v>58880.415374008575</v>
      </c>
      <c r="C78" s="4">
        <f t="shared" si="7"/>
        <v>1455.1391344474989</v>
      </c>
      <c r="D78" s="4">
        <f t="shared" si="8"/>
        <v>2231.4230447000446</v>
      </c>
    </row>
    <row r="79" spans="1:4" ht="16.5" x14ac:dyDescent="0.25">
      <c r="A79">
        <v>25</v>
      </c>
      <c r="B79">
        <f t="shared" si="6"/>
        <v>61141.888089774671</v>
      </c>
      <c r="C79" s="4">
        <f t="shared" si="7"/>
        <v>1534.7170558625965</v>
      </c>
      <c r="D79" s="4">
        <f t="shared" si="8"/>
        <v>2261.4727157660964</v>
      </c>
    </row>
    <row r="80" spans="1:4" ht="16.5" x14ac:dyDescent="0.25">
      <c r="A80">
        <v>26</v>
      </c>
      <c r="B80">
        <f t="shared" si="6"/>
        <v>63433.950558532735</v>
      </c>
      <c r="C80" s="4">
        <f t="shared" si="7"/>
        <v>1616.0570598233144</v>
      </c>
      <c r="D80" s="4">
        <f t="shared" si="8"/>
        <v>2292.0624687580639</v>
      </c>
    </row>
    <row r="81" spans="1:4" ht="16.5" x14ac:dyDescent="0.25">
      <c r="A81">
        <v>27</v>
      </c>
      <c r="B81">
        <f t="shared" si="6"/>
        <v>65757.151668995706</v>
      </c>
      <c r="C81" s="4">
        <f t="shared" si="7"/>
        <v>1699.1907643430709</v>
      </c>
      <c r="D81" s="4">
        <f t="shared" si="8"/>
        <v>2323.201110462971</v>
      </c>
    </row>
    <row r="82" spans="1:4" ht="16.5" x14ac:dyDescent="0.25">
      <c r="A82">
        <v>28</v>
      </c>
      <c r="B82">
        <f t="shared" si="6"/>
        <v>68112.049252445489</v>
      </c>
      <c r="C82" s="4">
        <f t="shared" si="7"/>
        <v>1784.1503025602246</v>
      </c>
      <c r="D82" s="4">
        <f t="shared" si="8"/>
        <v>2354.8975834497833</v>
      </c>
    </row>
    <row r="83" spans="1:4" ht="16.5" x14ac:dyDescent="0.25">
      <c r="A83">
        <v>29</v>
      </c>
      <c r="B83">
        <f t="shared" si="6"/>
        <v>70499.210220533249</v>
      </c>
      <c r="C83" s="4">
        <f t="shared" si="7"/>
        <v>1870.9683306758782</v>
      </c>
      <c r="D83" s="4">
        <f t="shared" si="8"/>
        <v>2387.1609680877591</v>
      </c>
    </row>
    <row r="84" spans="1:4" ht="16.5" x14ac:dyDescent="0.25">
      <c r="A84">
        <v>30</v>
      </c>
      <c r="B84">
        <f t="shared" si="6"/>
        <v>72919.210705127509</v>
      </c>
      <c r="C84" s="4">
        <f t="shared" si="7"/>
        <v>1959.6780360096488</v>
      </c>
      <c r="D84" s="4">
        <f t="shared" si="8"/>
        <v>2420.0004845942603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37CD-71B5-41FE-AB68-B192F153FF71}">
  <dimension ref="A1:B6"/>
  <sheetViews>
    <sheetView workbookViewId="0">
      <selection activeCell="B3" sqref="B3"/>
    </sheetView>
  </sheetViews>
  <sheetFormatPr defaultRowHeight="15" x14ac:dyDescent="0.25"/>
  <cols>
    <col min="1" max="1" width="21.140625" customWidth="1"/>
    <col min="2" max="2" width="25.5703125" customWidth="1"/>
  </cols>
  <sheetData>
    <row r="1" spans="1:2" ht="75" x14ac:dyDescent="0.25">
      <c r="A1" s="1" t="s">
        <v>66</v>
      </c>
      <c r="B1" s="1">
        <f>MIN(Calculations!B8,FARMER_HOURS)*FARMER_RATE</f>
        <v>24998.399999999998</v>
      </c>
    </row>
    <row r="2" spans="1:2" ht="30" x14ac:dyDescent="0.25">
      <c r="A2" t="s">
        <v>67</v>
      </c>
      <c r="B2" s="1">
        <f>MAX(0,Calculations!B8-FARMER_HOURS)*TEMP_WORKER_RATE</f>
        <v>79106.444612257867</v>
      </c>
    </row>
    <row r="3" spans="1:2" ht="30" x14ac:dyDescent="0.25">
      <c r="A3" t="s">
        <v>68</v>
      </c>
      <c r="B3" s="1">
        <f>Calculations!B22</f>
        <v>104104.84461225786</v>
      </c>
    </row>
    <row r="4" spans="1:2" ht="30" x14ac:dyDescent="0.25">
      <c r="A4" t="s">
        <v>135</v>
      </c>
      <c r="B4" s="1">
        <f>Calculations!B18</f>
        <v>44000</v>
      </c>
    </row>
    <row r="5" spans="1:2" x14ac:dyDescent="0.25">
      <c r="A5" t="s">
        <v>136</v>
      </c>
      <c r="B5">
        <f>FIXED_COSTS</f>
        <v>20000</v>
      </c>
    </row>
    <row r="6" spans="1:2" x14ac:dyDescent="0.25">
      <c r="A6" t="s">
        <v>124</v>
      </c>
      <c r="B6">
        <f>SUM(B3:B5)</f>
        <v>168104.84461225785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25</vt:i4>
      </vt:variant>
    </vt:vector>
  </HeadingPairs>
  <TitlesOfParts>
    <vt:vector size="34" baseType="lpstr">
      <vt:lpstr>Inputs</vt:lpstr>
      <vt:lpstr>Calculations</vt:lpstr>
      <vt:lpstr>Optimization</vt:lpstr>
      <vt:lpstr>Checks</vt:lpstr>
      <vt:lpstr>Example Answer Report 1</vt:lpstr>
      <vt:lpstr>Example Answer Report 2</vt:lpstr>
      <vt:lpstr>Hypothesis Report </vt:lpstr>
      <vt:lpstr>Marginal Cost</vt:lpstr>
      <vt:lpstr>Cost Structure</vt:lpstr>
      <vt:lpstr>CARROT_BED_CAP</vt:lpstr>
      <vt:lpstr>CARROT_DIM_PCT</vt:lpstr>
      <vt:lpstr>CARROT_FERTILIZER_PER_BED</vt:lpstr>
      <vt:lpstr>CARROT_HRS_PER_BED</vt:lpstr>
      <vt:lpstr>CARROT_REVENUE_PER_BED</vt:lpstr>
      <vt:lpstr>CARROTS_DIM_PCT</vt:lpstr>
      <vt:lpstr>CARROTS_HRS_PER_BED</vt:lpstr>
      <vt:lpstr>FARMER_HOURS</vt:lpstr>
      <vt:lpstr>FARMER_RATE</vt:lpstr>
      <vt:lpstr>FIXED_COSTS</vt:lpstr>
      <vt:lpstr>MESCLUN_BED_CAP</vt:lpstr>
      <vt:lpstr>MESCLUN_DIM_PCT</vt:lpstr>
      <vt:lpstr>MESCLUN_FERTILIZER_PER_BED</vt:lpstr>
      <vt:lpstr>MESCLUN_HRS_PER_BED</vt:lpstr>
      <vt:lpstr>MESCLUN_REVENUE_PER_BED</vt:lpstr>
      <vt:lpstr>TEMP_WORKER_RATE</vt:lpstr>
      <vt:lpstr>TEMP_WORKERS_HOURS</vt:lpstr>
      <vt:lpstr>TEMP_WORKERS_MAX</vt:lpstr>
      <vt:lpstr>TOMATO_BED_CAP</vt:lpstr>
      <vt:lpstr>TOMATO_DIM_PCT</vt:lpstr>
      <vt:lpstr>TOMATO_FERTILIZER_PER_BED</vt:lpstr>
      <vt:lpstr>TOMATO_HRS_PER_BED</vt:lpstr>
      <vt:lpstr>TOMATO_REVENUE_PER_BED</vt:lpstr>
      <vt:lpstr>TOTAL_BEDS</vt:lpstr>
      <vt:lpstr>WEEKS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Kim</dc:creator>
  <cp:lastModifiedBy>Sebastian Kim</cp:lastModifiedBy>
  <dcterms:created xsi:type="dcterms:W3CDTF">2026-10-09T20:37:39Z</dcterms:created>
  <dcterms:modified xsi:type="dcterms:W3CDTF">2026-10-27T20:50:52Z</dcterms:modified>
</cp:coreProperties>
</file>