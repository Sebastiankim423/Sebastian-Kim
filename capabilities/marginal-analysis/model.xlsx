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d52bb83a98f88c/Desktop/BUS 620 Economics/"/>
    </mc:Choice>
  </mc:AlternateContent>
  <xr:revisionPtr revIDLastSave="1383" documentId="8_{202E0E92-0A53-4DF2-844D-22EFC22CE560}" xr6:coauthVersionLast="47" xr6:coauthVersionMax="47" xr10:uidLastSave="{51D854D0-8D37-4570-AFE2-333018C6A680}"/>
  <bookViews>
    <workbookView xWindow="210" yWindow="1125" windowWidth="22200" windowHeight="13485" firstSheet="3" activeTab="5" xr2:uid="{CB3B63E6-161E-4EB6-9C62-E77ECB56D41C}"/>
  </bookViews>
  <sheets>
    <sheet name="Inputs" sheetId="1" r:id="rId1"/>
    <sheet name="Calculations" sheetId="2" r:id="rId2"/>
    <sheet name="Optimization" sheetId="3" r:id="rId3"/>
    <sheet name="Checks" sheetId="4" r:id="rId4"/>
    <sheet name="Example Answer Report 1" sheetId="5" r:id="rId5"/>
    <sheet name="Example Answer Report 2" sheetId="7" r:id="rId6"/>
    <sheet name="Hypothesis Answer Report " sheetId="6" r:id="rId7"/>
  </sheets>
  <definedNames>
    <definedName name="solver_adj" localSheetId="2" hidden="1">Optimization!$B$1:$B$3</definedName>
    <definedName name="solver_cvg" localSheetId="2" hidden="1">0.0001</definedName>
    <definedName name="solver_drv" localSheetId="2" hidden="1">1</definedName>
    <definedName name="solver_eng" localSheetId="1" hidden="1">1</definedName>
    <definedName name="solver_eng" localSheetId="3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Optimization!$B$1</definedName>
    <definedName name="solver_lhs2" localSheetId="2" hidden="1">Optimization!$B$1:$B$3</definedName>
    <definedName name="solver_lhs3" localSheetId="2" hidden="1">Optimization!$B$2</definedName>
    <definedName name="solver_lhs4" localSheetId="2" hidden="1">Optimization!$B$3</definedName>
    <definedName name="solver_lhs5" localSheetId="2" hidden="1">Optimization!$B$5</definedName>
    <definedName name="solver_lhs6" localSheetId="2" hidden="1">Optimization!$B$6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1" hidden="1">1</definedName>
    <definedName name="solver_neg" localSheetId="3" hidden="1">1</definedName>
    <definedName name="solver_neg" localSheetId="2" hidden="1">1</definedName>
    <definedName name="solver_nod" localSheetId="2" hidden="1">2147483647</definedName>
    <definedName name="solver_num" localSheetId="1" hidden="1">0</definedName>
    <definedName name="solver_num" localSheetId="3" hidden="1">0</definedName>
    <definedName name="solver_num" localSheetId="2" hidden="1">6</definedName>
    <definedName name="solver_nwt" localSheetId="2" hidden="1">1</definedName>
    <definedName name="solver_opt" localSheetId="1" hidden="1">Calculations!$B$21</definedName>
    <definedName name="solver_opt" localSheetId="3" hidden="1">Checks!$A$9</definedName>
    <definedName name="solver_opt" localSheetId="2" hidden="1">Optimization!$B$7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4</definedName>
    <definedName name="solver_rel3" localSheetId="2" hidden="1">1</definedName>
    <definedName name="solver_rel4" localSheetId="2" hidden="1">1</definedName>
    <definedName name="solver_rel5" localSheetId="2" hidden="1">1</definedName>
    <definedName name="solver_rel6" localSheetId="2" hidden="1">1</definedName>
    <definedName name="solver_rhs1" localSheetId="2" hidden="1">20</definedName>
    <definedName name="solver_rhs2" localSheetId="2" hidden="1">"integer"</definedName>
    <definedName name="solver_rhs3" localSheetId="2" hidden="1">20</definedName>
    <definedName name="solver_rhs4" localSheetId="2" hidden="1">30</definedName>
    <definedName name="solver_rhs5" localSheetId="2" hidden="1">64</definedName>
    <definedName name="solver_rhs6" localSheetId="2" hidden="1">6480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1" hidden="1">1</definedName>
    <definedName name="solver_typ" localSheetId="3" hidden="1">1</definedName>
    <definedName name="solver_typ" localSheetId="2" hidden="1">1</definedName>
    <definedName name="solver_val" localSheetId="1" hidden="1">0</definedName>
    <definedName name="solver_val" localSheetId="3" hidden="1">0</definedName>
    <definedName name="solver_val" localSheetId="2" hidden="1">0</definedName>
    <definedName name="solver_ver" localSheetId="1" hidden="1">3</definedName>
    <definedName name="solver_ver" localSheetId="3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2" l="1"/>
  <c r="B3" i="2"/>
  <c r="B7" i="2" s="1"/>
  <c r="B2" i="2"/>
  <c r="B6" i="2" s="1"/>
  <c r="B1" i="2"/>
  <c r="B5" i="2" s="1"/>
  <c r="B4" i="4"/>
  <c r="B3" i="4"/>
  <c r="B5" i="3"/>
  <c r="B17" i="2"/>
  <c r="B16" i="2"/>
  <c r="B12" i="2"/>
  <c r="B11" i="2"/>
  <c r="B15" i="2" l="1"/>
  <c r="B18" i="2" s="1"/>
  <c r="B10" i="2"/>
  <c r="B13" i="2" s="1"/>
  <c r="B8" i="2"/>
  <c r="B6" i="3" l="1"/>
  <c r="B21" i="2"/>
  <c r="B22" i="2" s="1"/>
  <c r="B24" i="2" s="1"/>
  <c r="B7" i="3" s="1"/>
</calcChain>
</file>

<file path=xl/sharedStrings.xml><?xml version="1.0" encoding="utf-8"?>
<sst xmlns="http://schemas.openxmlformats.org/spreadsheetml/2006/main" count="239" uniqueCount="90">
  <si>
    <t>WEEKS</t>
  </si>
  <si>
    <t>FIXED COST</t>
  </si>
  <si>
    <t>TOTAL BEDS</t>
  </si>
  <si>
    <t>FARMER HOURS</t>
  </si>
  <si>
    <t>TEMP WORKERS MAX</t>
  </si>
  <si>
    <t>TEMP WORKERS HOURS</t>
  </si>
  <si>
    <t>TEMP WORKER RATE</t>
  </si>
  <si>
    <t>FARMER RATE</t>
  </si>
  <si>
    <t>Variable</t>
  </si>
  <si>
    <t>Value</t>
  </si>
  <si>
    <t>Crop</t>
  </si>
  <si>
    <t>Bed Cap</t>
  </si>
  <si>
    <t>Revenue / Bed</t>
  </si>
  <si>
    <t>Hrs / Wk / Bed</t>
  </si>
  <si>
    <t>Fertilizer / Bed</t>
  </si>
  <si>
    <t>Dim %</t>
  </si>
  <si>
    <t>Tomatoes</t>
  </si>
  <si>
    <t>Carrots</t>
  </si>
  <si>
    <t>Mesclun</t>
  </si>
  <si>
    <t>Tomato Beds</t>
  </si>
  <si>
    <t>Carrot Beds</t>
  </si>
  <si>
    <t>Mesclun Beds</t>
  </si>
  <si>
    <t>Tomato Labor</t>
  </si>
  <si>
    <t>Carrot Labor</t>
  </si>
  <si>
    <t>Mesclun Labor</t>
  </si>
  <si>
    <t>Total Labor</t>
  </si>
  <si>
    <t>Tomato Revenue</t>
  </si>
  <si>
    <t>Carrot Revenue</t>
  </si>
  <si>
    <t>Meslcun Revenue</t>
  </si>
  <si>
    <t>Total Revenue</t>
  </si>
  <si>
    <t>Tomato Fertilizer</t>
  </si>
  <si>
    <t>Carrot Fertilizer</t>
  </si>
  <si>
    <t>Mesclun Fertilizer</t>
  </si>
  <si>
    <t>Total Fertilizer</t>
  </si>
  <si>
    <t>Season Profit</t>
  </si>
  <si>
    <t>Total Beds</t>
  </si>
  <si>
    <t>Tomato q=1 Check</t>
  </si>
  <si>
    <t>Expected</t>
  </si>
  <si>
    <t>Actual</t>
  </si>
  <si>
    <t>Result</t>
  </si>
  <si>
    <t>Expected Tomatoes</t>
  </si>
  <si>
    <t>Expected Carrots</t>
  </si>
  <si>
    <t>Expected Mesclun</t>
  </si>
  <si>
    <t>Microsoft Excel 16.0 Answer Report</t>
  </si>
  <si>
    <t>Worksheet: [model.xlsx]Optimization</t>
  </si>
  <si>
    <t>Report Created: 10/9/2026 11:23:46 AM</t>
  </si>
  <si>
    <t>Result: Solver found a solution.  All Constraints and optimality conditions are satisfied.</t>
  </si>
  <si>
    <t>Solver Engine</t>
  </si>
  <si>
    <t>Engine: GRG Nonlinear</t>
  </si>
  <si>
    <t>Solution Time: 0.093 Seconds.</t>
  </si>
  <si>
    <t>Iterations: 0 Subproblems: 0</t>
  </si>
  <si>
    <t>Solver Options</t>
  </si>
  <si>
    <t>Max Time Unlimited,  Iterations Unlimited, Precision 0.000001, Use Automatic Scaling</t>
  </si>
  <si>
    <t xml:space="preserve"> Convergence 0.0001, Population Size 100, Random Seed 0, Derivatives Forward, Require Bounds</t>
  </si>
  <si>
    <t>Max Subproblems Unlimited, Max Integer Sols Unlimited, Integer Tolerance 1%, Assume NonNegative</t>
  </si>
  <si>
    <t>Objective Cell (Max)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</si>
  <si>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</si>
  <si>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</si>
  <si>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</si>
  <si>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</si>
  <si>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</si>
  <si>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</si>
  <si>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</si>
  <si>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</si>
  <si>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</si>
  <si>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</si>
  <si>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</si>
  <si>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$B$7</t>
  </si>
  <si>
    <t>$B$1</t>
  </si>
  <si>
    <t>$B$2</t>
  </si>
  <si>
    <t>$B$3</t>
  </si>
  <si>
    <t>$B$5</t>
  </si>
  <si>
    <t>$B$5&lt;=64</t>
  </si>
  <si>
    <t>Not Binding</t>
  </si>
  <si>
    <t>$B$6</t>
  </si>
  <si>
    <t>$B$6&lt;=6480</t>
  </si>
  <si>
    <t>$B$1&lt;=20</t>
  </si>
  <si>
    <t>$B$2&lt;=20</t>
  </si>
  <si>
    <t>$B$3&lt;=30</t>
  </si>
  <si>
    <t>$B$1:$B$3=Integer</t>
  </si>
  <si>
    <t>Permanent Labor Cost</t>
  </si>
  <si>
    <t>Temporary Labor Cost</t>
  </si>
  <si>
    <t>Total Labor Cost</t>
  </si>
  <si>
    <t>Report Created: 10/9/2026 8:15:57 PM</t>
  </si>
  <si>
    <t>Solution Time: 0.265 Seconds.</t>
  </si>
  <si>
    <t>Iterations: 0 Subproblems: 2</t>
  </si>
  <si>
    <t>Binding</t>
  </si>
  <si>
    <t>$B$1:$B$3</t>
  </si>
  <si>
    <t>Report Created: 10/9/2026 8:17:23 PM</t>
  </si>
  <si>
    <t>Solution Time: 0.64 Seconds.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</si>
</sst>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1"/>
      <color indexed="18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3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wrapText="1"/>
    </xf>
    <xf numFmtId="9" fontId="0" fillId="0" borderId="0" xfId="0" applyNumberFormat="1"/>
    <xf numFmtId="10" fontId="0" fillId="0" borderId="0" xfId="0" applyNumberFormat="1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2" xfId="0" applyBorder="1"/>
    <xf numFmtId="0" fontId="3" fillId="0" borderId="1" xfId="0" applyFont="1" applyBorder="1" applyAlignment="1">
      <alignment horizontal="center"/>
    </xf>
    <xf numFmtId="0" fontId="0" fillId="0" borderId="3" xfId="0" applyBorder="1"/>
    <xf numFmtId="0" fontId="0" fillId="0" borderId="2" xfId="0" applyFill="1" applyBorder="1" applyAlignment="1"/>
    <xf numFmtId="0" fontId="3" fillId="0" borderId="1" xfId="0" applyFont="1" applyFill="1" applyBorder="1" applyAlignment="1">
      <alignment horizontal="center"/>
    </xf>
    <xf numFmtId="0" fontId="0" fillId="0" borderId="0" xfId="0" applyFill="1" applyBorder="1" applyAlignment="1"/>
    <xf numFmtId="0" fontId="0" fillId="0" borderId="3" xfId="0" applyFill="1" applyBorder="1" applyAlignment="1"/>
    <xf numFmtId="0" fontId="0" fillId="0" borderId="2" xfId="0" applyNumberFormat="1" applyFill="1" applyBorder="1" applyAlignment="1"/>
    <xf numFmtId="0" fontId="0" fillId="0" borderId="3" xfId="0" applyNumberFormat="1" applyFill="1" applyBorder="1" applyAlignment="1"/>
    <xf numFmtId="0" fontId="0" fillId="0" borderId="0" xfId="0" applyNumberFormat="1" applyFill="1" applyBorder="1" applyAlignment="1"/>
    <xf numFmtId="0" fontId="3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39468-0B21-4B49-B45B-C22CF7D16BE0}">
  <dimension ref="A1:F16"/>
  <sheetViews>
    <sheetView workbookViewId="0">
      <selection activeCell="F16" sqref="F16"/>
    </sheetView>
  </sheetViews>
  <sheetFormatPr defaultRowHeight="15" x14ac:dyDescent="0.25"/>
  <cols>
    <col min="1" max="1" width="10.28515625" customWidth="1"/>
  </cols>
  <sheetData>
    <row r="1" spans="1:6" x14ac:dyDescent="0.25">
      <c r="A1" s="3" t="s">
        <v>8</v>
      </c>
      <c r="B1" s="3" t="s">
        <v>9</v>
      </c>
    </row>
    <row r="3" spans="1:6" x14ac:dyDescent="0.25">
      <c r="A3" s="1" t="s">
        <v>0</v>
      </c>
      <c r="B3">
        <v>36</v>
      </c>
    </row>
    <row r="4" spans="1:6" ht="30" x14ac:dyDescent="0.25">
      <c r="A4" s="1" t="s">
        <v>1</v>
      </c>
      <c r="B4" s="2">
        <v>20000</v>
      </c>
    </row>
    <row r="5" spans="1:6" ht="30" x14ac:dyDescent="0.25">
      <c r="A5" s="1" t="s">
        <v>2</v>
      </c>
      <c r="B5">
        <v>64</v>
      </c>
    </row>
    <row r="6" spans="1:6" ht="30" x14ac:dyDescent="0.25">
      <c r="A6" s="1" t="s">
        <v>3</v>
      </c>
      <c r="B6">
        <v>720</v>
      </c>
    </row>
    <row r="7" spans="1:6" ht="45" x14ac:dyDescent="0.25">
      <c r="A7" s="1" t="s">
        <v>4</v>
      </c>
      <c r="B7">
        <v>4</v>
      </c>
    </row>
    <row r="8" spans="1:6" ht="45" x14ac:dyDescent="0.25">
      <c r="A8" s="1" t="s">
        <v>5</v>
      </c>
      <c r="B8">
        <v>1440</v>
      </c>
    </row>
    <row r="9" spans="1:6" ht="45" x14ac:dyDescent="0.25">
      <c r="A9" s="1" t="s">
        <v>6</v>
      </c>
      <c r="B9">
        <v>17.36</v>
      </c>
    </row>
    <row r="10" spans="1:6" ht="30" x14ac:dyDescent="0.25">
      <c r="A10" s="1" t="s">
        <v>7</v>
      </c>
      <c r="B10">
        <v>34.72</v>
      </c>
    </row>
    <row r="12" spans="1:6" ht="30" x14ac:dyDescent="0.25">
      <c r="A12" s="4" t="s">
        <v>10</v>
      </c>
      <c r="B12" s="4" t="s">
        <v>11</v>
      </c>
      <c r="C12" s="4" t="s">
        <v>12</v>
      </c>
      <c r="D12" s="4" t="s">
        <v>13</v>
      </c>
      <c r="E12" s="4" t="s">
        <v>14</v>
      </c>
      <c r="F12" s="4" t="s">
        <v>15</v>
      </c>
    </row>
    <row r="13" spans="1:6" ht="30" x14ac:dyDescent="0.25">
      <c r="A13" s="1" t="s">
        <v>16</v>
      </c>
      <c r="B13">
        <v>20</v>
      </c>
      <c r="C13">
        <v>8800</v>
      </c>
      <c r="D13">
        <v>2.5</v>
      </c>
      <c r="E13">
        <v>880</v>
      </c>
      <c r="F13" s="5">
        <v>0.1</v>
      </c>
    </row>
    <row r="14" spans="1:6" x14ac:dyDescent="0.25">
      <c r="A14" s="1" t="s">
        <v>17</v>
      </c>
      <c r="B14">
        <v>20</v>
      </c>
      <c r="C14">
        <v>2094</v>
      </c>
      <c r="D14">
        <v>0.83299999999999996</v>
      </c>
      <c r="E14">
        <v>440</v>
      </c>
      <c r="F14" s="6">
        <v>2.5000000000000001E-2</v>
      </c>
    </row>
    <row r="15" spans="1:6" x14ac:dyDescent="0.25">
      <c r="A15" s="1" t="s">
        <v>18</v>
      </c>
      <c r="B15">
        <v>30</v>
      </c>
      <c r="C15">
        <v>2700</v>
      </c>
      <c r="D15">
        <v>1.25</v>
      </c>
      <c r="E15">
        <v>880</v>
      </c>
      <c r="F15">
        <v>1.25</v>
      </c>
    </row>
    <row r="16" spans="1:6" x14ac:dyDescent="0.25">
      <c r="A1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89CE-34E3-44F4-85C3-871A0980CC5F}">
  <dimension ref="A1:B24"/>
  <sheetViews>
    <sheetView topLeftCell="A14" workbookViewId="0">
      <selection activeCell="B21" sqref="B21"/>
    </sheetView>
  </sheetViews>
  <sheetFormatPr defaultRowHeight="15" x14ac:dyDescent="0.25"/>
  <cols>
    <col min="1" max="1" width="17.7109375" customWidth="1"/>
  </cols>
  <sheetData>
    <row r="1" spans="1:2" ht="30" x14ac:dyDescent="0.25">
      <c r="A1" s="1" t="s">
        <v>19</v>
      </c>
      <c r="B1" s="7">
        <f>Optimization!B1</f>
        <v>10</v>
      </c>
    </row>
    <row r="2" spans="1:2" ht="30" x14ac:dyDescent="0.25">
      <c r="A2" s="1" t="s">
        <v>20</v>
      </c>
      <c r="B2">
        <f>Optimization!B2</f>
        <v>20</v>
      </c>
    </row>
    <row r="3" spans="1:2" ht="30" x14ac:dyDescent="0.25">
      <c r="A3" s="1" t="s">
        <v>21</v>
      </c>
      <c r="B3" s="7">
        <f>Optimization!B3</f>
        <v>30</v>
      </c>
    </row>
    <row r="5" spans="1:2" ht="30" x14ac:dyDescent="0.25">
      <c r="A5" s="1" t="s">
        <v>22</v>
      </c>
      <c r="B5" s="7">
        <f>B1*2.5*36*(1+10%)^B1</f>
        <v>2334.3682140900019</v>
      </c>
    </row>
    <row r="6" spans="1:2" ht="30" x14ac:dyDescent="0.25">
      <c r="A6" s="1" t="s">
        <v>23</v>
      </c>
      <c r="B6" s="7">
        <f>B2*0.833*36*(1+2.5%)^B2</f>
        <v>982.77659622856766</v>
      </c>
    </row>
    <row r="7" spans="1:2" ht="30" x14ac:dyDescent="0.25">
      <c r="A7" s="1" t="s">
        <v>24</v>
      </c>
      <c r="B7" s="7">
        <f>B3*1.25*36*(1+1.25%)^B3</f>
        <v>1959.6780360096488</v>
      </c>
    </row>
    <row r="8" spans="1:2" ht="30" x14ac:dyDescent="0.25">
      <c r="A8" s="1" t="s">
        <v>25</v>
      </c>
      <c r="B8">
        <f>SUM(B5:B7)</f>
        <v>5276.8228463282185</v>
      </c>
    </row>
    <row r="10" spans="1:2" ht="30" x14ac:dyDescent="0.25">
      <c r="A10" s="1" t="s">
        <v>26</v>
      </c>
      <c r="B10" s="7">
        <f>B1*8800</f>
        <v>88000</v>
      </c>
    </row>
    <row r="11" spans="1:2" ht="30" x14ac:dyDescent="0.25">
      <c r="A11" s="1" t="s">
        <v>27</v>
      </c>
      <c r="B11" s="7">
        <f>B2*2094</f>
        <v>41880</v>
      </c>
    </row>
    <row r="12" spans="1:2" ht="30" x14ac:dyDescent="0.25">
      <c r="A12" s="1" t="s">
        <v>28</v>
      </c>
      <c r="B12" s="7">
        <f>B3*2700</f>
        <v>81000</v>
      </c>
    </row>
    <row r="13" spans="1:2" ht="30" x14ac:dyDescent="0.25">
      <c r="A13" s="1" t="s">
        <v>29</v>
      </c>
      <c r="B13" s="7">
        <f>SUM(B10:B12)</f>
        <v>210880</v>
      </c>
    </row>
    <row r="15" spans="1:2" ht="30" x14ac:dyDescent="0.25">
      <c r="A15" s="1" t="s">
        <v>30</v>
      </c>
      <c r="B15" s="7">
        <f>B1*880</f>
        <v>8800</v>
      </c>
    </row>
    <row r="16" spans="1:2" ht="30" x14ac:dyDescent="0.25">
      <c r="A16" s="1" t="s">
        <v>31</v>
      </c>
      <c r="B16" s="7">
        <f>B2*440</f>
        <v>8800</v>
      </c>
    </row>
    <row r="17" spans="1:2" ht="30" x14ac:dyDescent="0.25">
      <c r="A17" s="1" t="s">
        <v>32</v>
      </c>
      <c r="B17" s="7">
        <f>B3*880</f>
        <v>26400</v>
      </c>
    </row>
    <row r="18" spans="1:2" ht="30" x14ac:dyDescent="0.25">
      <c r="A18" s="1" t="s">
        <v>33</v>
      </c>
      <c r="B18" s="7">
        <f>SUM(B15:B17)</f>
        <v>44000</v>
      </c>
    </row>
    <row r="19" spans="1:2" ht="16.5" x14ac:dyDescent="0.25">
      <c r="B19" s="7"/>
    </row>
    <row r="20" spans="1:2" ht="30" x14ac:dyDescent="0.25">
      <c r="A20" s="1" t="s">
        <v>80</v>
      </c>
      <c r="B20" s="7">
        <f>720*34.72</f>
        <v>24998.399999999998</v>
      </c>
    </row>
    <row r="21" spans="1:2" ht="30" x14ac:dyDescent="0.25">
      <c r="A21" s="1" t="s">
        <v>81</v>
      </c>
      <c r="B21" s="7">
        <f>(B8-720)*17.36</f>
        <v>79106.444612257867</v>
      </c>
    </row>
    <row r="22" spans="1:2" ht="16.5" x14ac:dyDescent="0.25">
      <c r="A22" s="1" t="s">
        <v>82</v>
      </c>
      <c r="B22" s="7">
        <f>B20+B21</f>
        <v>104104.84461225786</v>
      </c>
    </row>
    <row r="24" spans="1:2" x14ac:dyDescent="0.25">
      <c r="A24" s="1" t="s">
        <v>34</v>
      </c>
      <c r="B24">
        <f>B13-B18-B22-20000</f>
        <v>42775.155387742139</v>
      </c>
    </row>
  </sheetData>
  <pageMargins left="0.7" right="0.7" top="0.75" bottom="0.75" header="0.3" footer="0.3"/>
  <ignoredErrors>
    <ignoredError sqref="B1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EF08-01A6-42B5-90EB-713B2D0FF134}">
  <dimension ref="A1:B7"/>
  <sheetViews>
    <sheetView workbookViewId="0">
      <selection activeCell="B7" sqref="B7"/>
    </sheetView>
  </sheetViews>
  <sheetFormatPr defaultRowHeight="15" x14ac:dyDescent="0.25"/>
  <cols>
    <col min="1" max="1" width="14.28515625" customWidth="1"/>
    <col min="2" max="2" width="15.85546875" customWidth="1"/>
  </cols>
  <sheetData>
    <row r="1" spans="1:2" ht="30" x14ac:dyDescent="0.25">
      <c r="A1" s="1" t="s">
        <v>16</v>
      </c>
      <c r="B1">
        <v>10</v>
      </c>
    </row>
    <row r="2" spans="1:2" x14ac:dyDescent="0.25">
      <c r="A2" t="s">
        <v>17</v>
      </c>
      <c r="B2">
        <v>20</v>
      </c>
    </row>
    <row r="3" spans="1:2" x14ac:dyDescent="0.25">
      <c r="A3" t="s">
        <v>18</v>
      </c>
      <c r="B3">
        <v>30</v>
      </c>
    </row>
    <row r="5" spans="1:2" ht="16.5" x14ac:dyDescent="0.25">
      <c r="A5" t="s">
        <v>35</v>
      </c>
      <c r="B5" s="7">
        <f>SUM(B1:B3)</f>
        <v>60</v>
      </c>
    </row>
    <row r="6" spans="1:2" ht="16.5" x14ac:dyDescent="0.25">
      <c r="A6" t="s">
        <v>25</v>
      </c>
      <c r="B6" s="7">
        <f>Calculations!B8</f>
        <v>5276.8228463282185</v>
      </c>
    </row>
    <row r="7" spans="1:2" ht="16.5" x14ac:dyDescent="0.25">
      <c r="A7" s="1" t="s">
        <v>34</v>
      </c>
      <c r="B7" s="7">
        <f>Calculations!B24</f>
        <v>42775.155387742139</v>
      </c>
    </row>
  </sheetData>
  <scenarios current="0">
    <scenario name="Scenario 2" count="3" user="Sebastian Kim" comment="Created by Sebastian Kim on 10/9/2026">
      <inputCells r="B1" val="10"/>
      <inputCells r="B2" val="20"/>
      <inputCells r="B3" val="30"/>
    </scenario>
  </scenario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E619-8C1A-4944-B8AD-22830FD50E6A}">
  <dimension ref="A1:B8"/>
  <sheetViews>
    <sheetView workbookViewId="0">
      <selection activeCell="B4" sqref="B4"/>
    </sheetView>
  </sheetViews>
  <sheetFormatPr defaultRowHeight="15" x14ac:dyDescent="0.25"/>
  <cols>
    <col min="1" max="1" width="14.140625" customWidth="1"/>
  </cols>
  <sheetData>
    <row r="1" spans="1:2" ht="30" x14ac:dyDescent="0.25">
      <c r="A1" s="1" t="s">
        <v>36</v>
      </c>
    </row>
    <row r="2" spans="1:2" x14ac:dyDescent="0.25">
      <c r="A2" t="s">
        <v>37</v>
      </c>
      <c r="B2">
        <v>99</v>
      </c>
    </row>
    <row r="3" spans="1:2" ht="16.5" x14ac:dyDescent="0.25">
      <c r="A3" t="s">
        <v>38</v>
      </c>
      <c r="B3" s="7">
        <f>1*2.5*36*1.1</f>
        <v>99.000000000000014</v>
      </c>
    </row>
    <row r="4" spans="1:2" ht="16.5" x14ac:dyDescent="0.25">
      <c r="A4" t="s">
        <v>39</v>
      </c>
      <c r="B4" s="7" t="str">
        <f>IF(B2=B3,"PASS","FAIL")</f>
        <v>PASS</v>
      </c>
    </row>
    <row r="6" spans="1:2" ht="30" x14ac:dyDescent="0.25">
      <c r="A6" s="1" t="s">
        <v>40</v>
      </c>
      <c r="B6">
        <v>10</v>
      </c>
    </row>
    <row r="7" spans="1:2" ht="30" x14ac:dyDescent="0.25">
      <c r="A7" s="1" t="s">
        <v>41</v>
      </c>
      <c r="B7">
        <v>20</v>
      </c>
    </row>
    <row r="8" spans="1:2" ht="30" x14ac:dyDescent="0.25">
      <c r="A8" s="1" t="s">
        <v>42</v>
      </c>
      <c r="B8"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FFDD0-05F1-4EBB-B64D-C908F45E7FD0}">
  <dimension ref="A1:G33"/>
  <sheetViews>
    <sheetView showGridLines="0" workbookViewId="0">
      <selection activeCell="E21" sqref="E21"/>
    </sheetView>
  </sheetViews>
  <sheetFormatPr defaultRowHeight="15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1.140625" bestFit="1" customWidth="1"/>
    <col min="6" max="6" width="11.28515625" bestFit="1" customWidth="1"/>
    <col min="7" max="7" width="5.7109375" bestFit="1" customWidth="1"/>
  </cols>
  <sheetData>
    <row r="1" spans="1:5" x14ac:dyDescent="0.25">
      <c r="A1" s="8" t="s">
        <v>43</v>
      </c>
    </row>
    <row r="2" spans="1:5" x14ac:dyDescent="0.25">
      <c r="A2" s="8" t="s">
        <v>44</v>
      </c>
    </row>
    <row r="3" spans="1:5" x14ac:dyDescent="0.25">
      <c r="A3" s="8" t="s">
        <v>45</v>
      </c>
    </row>
    <row r="4" spans="1:5" x14ac:dyDescent="0.25">
      <c r="A4" s="8" t="s">
        <v>46</v>
      </c>
    </row>
    <row r="5" spans="1:5" x14ac:dyDescent="0.25">
      <c r="A5" s="8" t="s">
        <v>47</v>
      </c>
    </row>
    <row r="6" spans="1:5" x14ac:dyDescent="0.25">
      <c r="A6" s="8"/>
      <c r="B6" t="s">
        <v>48</v>
      </c>
    </row>
    <row r="7" spans="1:5" x14ac:dyDescent="0.25">
      <c r="A7" s="8"/>
      <c r="B7" t="s">
        <v>49</v>
      </c>
    </row>
    <row r="8" spans="1:5" x14ac:dyDescent="0.25">
      <c r="A8" s="8"/>
      <c r="B8" t="s">
        <v>50</v>
      </c>
    </row>
    <row r="9" spans="1:5" x14ac:dyDescent="0.25">
      <c r="A9" s="8" t="s">
        <v>51</v>
      </c>
    </row>
    <row r="10" spans="1:5" x14ac:dyDescent="0.25">
      <c r="B10" t="s">
        <v>52</v>
      </c>
    </row>
    <row r="11" spans="1:5" x14ac:dyDescent="0.25">
      <c r="B11" t="s">
        <v>53</v>
      </c>
    </row>
    <row r="12" spans="1:5" x14ac:dyDescent="0.25">
      <c r="B12" t="s">
        <v>54</v>
      </c>
    </row>
    <row r="14" spans="1:5" ht="15.75" thickBot="1" x14ac:dyDescent="0.3">
      <c r="A14" t="s">
        <v>55</v>
      </c>
    </row>
    <row r="15" spans="1:5" ht="15.75" thickBot="1" x14ac:dyDescent="0.3">
      <c r="B15" s="10" t="s">
        <v>56</v>
      </c>
      <c r="C15" s="10" t="s">
        <v>57</v>
      </c>
      <c r="D15" s="10" t="s">
        <v>58</v>
      </c>
      <c r="E15" s="10" t="s">
        <v>59</v>
      </c>
    </row>
    <row r="16" spans="1:5" ht="15.75" thickBot="1" x14ac:dyDescent="0.3">
      <c r="B16" s="9" t="s">
        <v>67</v>
      </c>
      <c r="C16" s="9" t="s">
        <v>34</v>
      </c>
      <c r="D16" s="9">
        <v>-20000</v>
      </c>
      <c r="E16" s="9">
        <v>-20000</v>
      </c>
    </row>
    <row r="19" spans="1:7" ht="15.75" thickBot="1" x14ac:dyDescent="0.3">
      <c r="A19" t="s">
        <v>60</v>
      </c>
    </row>
    <row r="20" spans="1:7" ht="15.75" thickBot="1" x14ac:dyDescent="0.3">
      <c r="B20" s="10" t="s">
        <v>56</v>
      </c>
      <c r="C20" s="10" t="s">
        <v>57</v>
      </c>
      <c r="D20" s="10" t="s">
        <v>58</v>
      </c>
      <c r="E20" s="10" t="s">
        <v>59</v>
      </c>
      <c r="F20" s="10" t="s">
        <v>61</v>
      </c>
    </row>
    <row r="21" spans="1:7" x14ac:dyDescent="0.25">
      <c r="B21" s="11" t="s">
        <v>68</v>
      </c>
      <c r="C21" s="11" t="s">
        <v>16</v>
      </c>
      <c r="D21" s="11">
        <v>0</v>
      </c>
      <c r="E21" s="11">
        <v>0</v>
      </c>
      <c r="F21" s="11" t="s">
        <v>61</v>
      </c>
    </row>
    <row r="22" spans="1:7" x14ac:dyDescent="0.25">
      <c r="B22" s="11" t="s">
        <v>69</v>
      </c>
      <c r="C22" s="11" t="s">
        <v>17</v>
      </c>
      <c r="D22" s="11">
        <v>0</v>
      </c>
      <c r="E22" s="11">
        <v>0</v>
      </c>
      <c r="F22" s="11" t="s">
        <v>61</v>
      </c>
    </row>
    <row r="23" spans="1:7" ht="15.75" thickBot="1" x14ac:dyDescent="0.3">
      <c r="B23" s="9" t="s">
        <v>70</v>
      </c>
      <c r="C23" s="9" t="s">
        <v>18</v>
      </c>
      <c r="D23" s="9">
        <v>0</v>
      </c>
      <c r="E23" s="9">
        <v>0</v>
      </c>
      <c r="F23" s="9" t="s">
        <v>61</v>
      </c>
    </row>
    <row r="26" spans="1:7" ht="15.75" thickBot="1" x14ac:dyDescent="0.3">
      <c r="A26" t="s">
        <v>62</v>
      </c>
    </row>
    <row r="27" spans="1:7" ht="15.75" thickBot="1" x14ac:dyDescent="0.3">
      <c r="B27" s="10" t="s">
        <v>56</v>
      </c>
      <c r="C27" s="10" t="s">
        <v>57</v>
      </c>
      <c r="D27" s="10" t="s">
        <v>63</v>
      </c>
      <c r="E27" s="10" t="s">
        <v>64</v>
      </c>
      <c r="F27" s="10" t="s">
        <v>65</v>
      </c>
      <c r="G27" s="10" t="s">
        <v>66</v>
      </c>
    </row>
    <row r="28" spans="1:7" x14ac:dyDescent="0.25">
      <c r="B28" s="11" t="s">
        <v>71</v>
      </c>
      <c r="C28" s="11" t="s">
        <v>35</v>
      </c>
      <c r="D28" s="11">
        <v>0</v>
      </c>
      <c r="E28" s="11" t="s">
        <v>72</v>
      </c>
      <c r="F28" s="11" t="s">
        <v>73</v>
      </c>
      <c r="G28" s="11">
        <v>64</v>
      </c>
    </row>
    <row r="29" spans="1:7" x14ac:dyDescent="0.25">
      <c r="B29" s="11" t="s">
        <v>74</v>
      </c>
      <c r="C29" s="11" t="s">
        <v>25</v>
      </c>
      <c r="D29" s="11">
        <v>0</v>
      </c>
      <c r="E29" s="11" t="s">
        <v>75</v>
      </c>
      <c r="F29" s="11" t="s">
        <v>73</v>
      </c>
      <c r="G29" s="11">
        <v>6480</v>
      </c>
    </row>
    <row r="30" spans="1:7" x14ac:dyDescent="0.25">
      <c r="B30" s="11" t="s">
        <v>68</v>
      </c>
      <c r="C30" s="11" t="s">
        <v>16</v>
      </c>
      <c r="D30" s="11">
        <v>0</v>
      </c>
      <c r="E30" s="11" t="s">
        <v>76</v>
      </c>
      <c r="F30" s="11" t="s">
        <v>73</v>
      </c>
      <c r="G30" s="11">
        <v>20</v>
      </c>
    </row>
    <row r="31" spans="1:7" x14ac:dyDescent="0.25">
      <c r="B31" s="11" t="s">
        <v>69</v>
      </c>
      <c r="C31" s="11" t="s">
        <v>17</v>
      </c>
      <c r="D31" s="11">
        <v>0</v>
      </c>
      <c r="E31" s="11" t="s">
        <v>77</v>
      </c>
      <c r="F31" s="11" t="s">
        <v>73</v>
      </c>
      <c r="G31" s="11">
        <v>20</v>
      </c>
    </row>
    <row r="32" spans="1:7" x14ac:dyDescent="0.25">
      <c r="B32" s="11" t="s">
        <v>70</v>
      </c>
      <c r="C32" s="11" t="s">
        <v>18</v>
      </c>
      <c r="D32" s="11">
        <v>0</v>
      </c>
      <c r="E32" s="11" t="s">
        <v>78</v>
      </c>
      <c r="F32" s="11" t="s">
        <v>73</v>
      </c>
      <c r="G32" s="11">
        <v>30</v>
      </c>
    </row>
    <row r="33" spans="2:7" ht="15.75" thickBot="1" x14ac:dyDescent="0.3">
      <c r="B33" s="9" t="s">
        <v>79</v>
      </c>
      <c r="C33" s="9"/>
      <c r="D33" s="9"/>
      <c r="E33" s="9"/>
      <c r="F33" s="9"/>
      <c r="G33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C6F2E-AF2C-4EC5-9E33-BEA5EC954C4E}">
  <dimension ref="A1:G35"/>
  <sheetViews>
    <sheetView showGridLines="0" tabSelected="1" workbookViewId="0"/>
  </sheetViews>
  <sheetFormatPr defaultRowHeight="15" outlineLevelRow="1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2" bestFit="1" customWidth="1"/>
    <col min="6" max="6" width="11.28515625" bestFit="1" customWidth="1"/>
    <col min="7" max="7" width="12" bestFit="1" customWidth="1"/>
  </cols>
  <sheetData>
    <row r="1" spans="1:5" x14ac:dyDescent="0.25">
      <c r="A1" s="8" t="s">
        <v>43</v>
      </c>
    </row>
    <row r="2" spans="1:5" x14ac:dyDescent="0.25">
      <c r="A2" s="8" t="s">
        <v>44</v>
      </c>
    </row>
    <row r="3" spans="1:5" x14ac:dyDescent="0.25">
      <c r="A3" s="8" t="s">
        <v>88</v>
      </c>
    </row>
    <row r="4" spans="1:5" x14ac:dyDescent="0.25">
      <c r="A4" s="8" t="s">
        <v>46</v>
      </c>
    </row>
    <row r="5" spans="1:5" x14ac:dyDescent="0.25">
      <c r="A5" s="8" t="s">
        <v>47</v>
      </c>
    </row>
    <row r="6" spans="1:5" hidden="1" outlineLevel="1" x14ac:dyDescent="0.25">
      <c r="A6" s="8"/>
      <c r="B6" t="s">
        <v>48</v>
      </c>
    </row>
    <row r="7" spans="1:5" hidden="1" outlineLevel="1" x14ac:dyDescent="0.25">
      <c r="A7" s="8"/>
      <c r="B7" t="s">
        <v>89</v>
      </c>
    </row>
    <row r="8" spans="1:5" hidden="1" outlineLevel="1" x14ac:dyDescent="0.25">
      <c r="A8" s="8"/>
      <c r="B8" t="s">
        <v>85</v>
      </c>
    </row>
    <row r="9" spans="1:5" collapsed="1" x14ac:dyDescent="0.25">
      <c r="A9" s="8" t="s">
        <v>51</v>
      </c>
    </row>
    <row r="10" spans="1:5" hidden="1" outlineLevel="1" x14ac:dyDescent="0.25">
      <c r="B10" t="s">
        <v>52</v>
      </c>
    </row>
    <row r="11" spans="1:5" hidden="1" outlineLevel="1" x14ac:dyDescent="0.25">
      <c r="B11" t="s">
        <v>53</v>
      </c>
    </row>
    <row r="12" spans="1:5" hidden="1" outlineLevel="1" x14ac:dyDescent="0.25">
      <c r="B12" t="s">
        <v>54</v>
      </c>
    </row>
    <row r="13" spans="1:5" collapsed="1" x14ac:dyDescent="0.25"/>
    <row r="14" spans="1:5" ht="15.75" thickBot="1" x14ac:dyDescent="0.3">
      <c r="A14" t="s">
        <v>55</v>
      </c>
    </row>
    <row r="15" spans="1:5" ht="15.75" thickBot="1" x14ac:dyDescent="0.3">
      <c r="B15" s="13" t="s">
        <v>56</v>
      </c>
      <c r="C15" s="13" t="s">
        <v>57</v>
      </c>
      <c r="D15" s="13" t="s">
        <v>58</v>
      </c>
      <c r="E15" s="13" t="s">
        <v>59</v>
      </c>
    </row>
    <row r="16" spans="1:5" ht="15.75" thickBot="1" x14ac:dyDescent="0.3">
      <c r="B16" s="12" t="s">
        <v>67</v>
      </c>
      <c r="C16" s="12" t="s">
        <v>34</v>
      </c>
      <c r="D16" s="16">
        <v>-84320.118416526617</v>
      </c>
      <c r="E16" s="16">
        <v>42775.155387742139</v>
      </c>
    </row>
    <row r="19" spans="1:7" ht="15.75" thickBot="1" x14ac:dyDescent="0.3">
      <c r="A19" t="s">
        <v>60</v>
      </c>
    </row>
    <row r="20" spans="1:7" ht="15.75" thickBot="1" x14ac:dyDescent="0.3">
      <c r="B20" s="13" t="s">
        <v>56</v>
      </c>
      <c r="C20" s="13" t="s">
        <v>57</v>
      </c>
      <c r="D20" s="13" t="s">
        <v>58</v>
      </c>
      <c r="E20" s="13" t="s">
        <v>59</v>
      </c>
      <c r="F20" s="13" t="s">
        <v>61</v>
      </c>
    </row>
    <row r="21" spans="1:7" x14ac:dyDescent="0.25">
      <c r="B21" s="20" t="s">
        <v>87</v>
      </c>
      <c r="C21" s="19"/>
      <c r="D21" s="19"/>
      <c r="E21" s="19"/>
      <c r="F21" s="19"/>
    </row>
    <row r="22" spans="1:7" hidden="1" outlineLevel="1" x14ac:dyDescent="0.25">
      <c r="B22" s="15" t="s">
        <v>68</v>
      </c>
      <c r="C22" s="15" t="s">
        <v>16</v>
      </c>
      <c r="D22" s="17">
        <v>20</v>
      </c>
      <c r="E22" s="17">
        <v>10</v>
      </c>
      <c r="F22" s="15" t="s">
        <v>61</v>
      </c>
    </row>
    <row r="23" spans="1:7" hidden="1" outlineLevel="1" x14ac:dyDescent="0.25">
      <c r="B23" s="15" t="s">
        <v>69</v>
      </c>
      <c r="C23" s="15" t="s">
        <v>17</v>
      </c>
      <c r="D23" s="17">
        <v>0</v>
      </c>
      <c r="E23" s="17">
        <v>20</v>
      </c>
      <c r="F23" s="15" t="s">
        <v>61</v>
      </c>
    </row>
    <row r="24" spans="1:7" ht="15.75" hidden="1" outlineLevel="1" thickBot="1" x14ac:dyDescent="0.3">
      <c r="B24" s="12" t="s">
        <v>70</v>
      </c>
      <c r="C24" s="12" t="s">
        <v>18</v>
      </c>
      <c r="D24" s="16">
        <v>0</v>
      </c>
      <c r="E24" s="16">
        <v>30</v>
      </c>
      <c r="F24" s="12" t="s">
        <v>61</v>
      </c>
    </row>
    <row r="25" spans="1:7" collapsed="1" x14ac:dyDescent="0.25">
      <c r="B25" s="14"/>
      <c r="C25" s="14"/>
      <c r="D25" s="18"/>
      <c r="E25" s="18"/>
      <c r="F25" s="14"/>
    </row>
    <row r="28" spans="1:7" ht="15.75" thickBot="1" x14ac:dyDescent="0.3">
      <c r="A28" t="s">
        <v>62</v>
      </c>
    </row>
    <row r="29" spans="1:7" ht="15.75" thickBot="1" x14ac:dyDescent="0.3">
      <c r="B29" s="13" t="s">
        <v>56</v>
      </c>
      <c r="C29" s="13" t="s">
        <v>57</v>
      </c>
      <c r="D29" s="13" t="s">
        <v>63</v>
      </c>
      <c r="E29" s="13" t="s">
        <v>64</v>
      </c>
      <c r="F29" s="13" t="s">
        <v>65</v>
      </c>
      <c r="G29" s="13" t="s">
        <v>66</v>
      </c>
    </row>
    <row r="30" spans="1:7" x14ac:dyDescent="0.25">
      <c r="B30" s="15" t="s">
        <v>71</v>
      </c>
      <c r="C30" s="15" t="s">
        <v>35</v>
      </c>
      <c r="D30" s="17">
        <v>60</v>
      </c>
      <c r="E30" s="15" t="s">
        <v>72</v>
      </c>
      <c r="F30" s="15" t="s">
        <v>73</v>
      </c>
      <c r="G30" s="15">
        <v>3.9999999999999929</v>
      </c>
    </row>
    <row r="31" spans="1:7" x14ac:dyDescent="0.25">
      <c r="B31" s="15" t="s">
        <v>74</v>
      </c>
      <c r="C31" s="15" t="s">
        <v>25</v>
      </c>
      <c r="D31" s="17">
        <v>5276.8228463282185</v>
      </c>
      <c r="E31" s="15" t="s">
        <v>75</v>
      </c>
      <c r="F31" s="15" t="s">
        <v>73</v>
      </c>
      <c r="G31" s="15">
        <v>1203.1771536717815</v>
      </c>
    </row>
    <row r="32" spans="1:7" x14ac:dyDescent="0.25">
      <c r="B32" s="15" t="s">
        <v>68</v>
      </c>
      <c r="C32" s="15" t="s">
        <v>16</v>
      </c>
      <c r="D32" s="17">
        <v>10</v>
      </c>
      <c r="E32" s="15" t="s">
        <v>76</v>
      </c>
      <c r="F32" s="15" t="s">
        <v>86</v>
      </c>
      <c r="G32" s="15">
        <v>0</v>
      </c>
    </row>
    <row r="33" spans="2:7" x14ac:dyDescent="0.25">
      <c r="B33" s="15" t="s">
        <v>69</v>
      </c>
      <c r="C33" s="15" t="s">
        <v>17</v>
      </c>
      <c r="D33" s="17">
        <v>20</v>
      </c>
      <c r="E33" s="15" t="s">
        <v>77</v>
      </c>
      <c r="F33" s="15" t="s">
        <v>86</v>
      </c>
      <c r="G33" s="15">
        <v>0</v>
      </c>
    </row>
    <row r="34" spans="2:7" x14ac:dyDescent="0.25">
      <c r="B34" s="15" t="s">
        <v>70</v>
      </c>
      <c r="C34" s="15" t="s">
        <v>18</v>
      </c>
      <c r="D34" s="17">
        <v>30</v>
      </c>
      <c r="E34" s="15" t="s">
        <v>78</v>
      </c>
      <c r="F34" s="15" t="s">
        <v>86</v>
      </c>
      <c r="G34" s="15">
        <v>0</v>
      </c>
    </row>
    <row r="35" spans="2:7" ht="15.75" thickBot="1" x14ac:dyDescent="0.3">
      <c r="B35" s="12" t="s">
        <v>79</v>
      </c>
      <c r="C35" s="12"/>
      <c r="D35" s="12"/>
      <c r="E35" s="12"/>
      <c r="F35" s="12"/>
      <c r="G35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BB34E-83A8-4C9C-8F24-2AEF2CD56844}">
  <dimension ref="A1:G35"/>
  <sheetViews>
    <sheetView showGridLines="0" workbookViewId="0">
      <selection activeCell="J34" sqref="J34"/>
    </sheetView>
  </sheetViews>
  <sheetFormatPr defaultRowHeight="15" outlineLevelRow="1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2" bestFit="1" customWidth="1"/>
    <col min="6" max="6" width="11.28515625" bestFit="1" customWidth="1"/>
    <col min="7" max="7" width="12" bestFit="1" customWidth="1"/>
  </cols>
  <sheetData>
    <row r="1" spans="1:5" x14ac:dyDescent="0.25">
      <c r="A1" s="8" t="s">
        <v>43</v>
      </c>
    </row>
    <row r="2" spans="1:5" x14ac:dyDescent="0.25">
      <c r="A2" s="8" t="s">
        <v>44</v>
      </c>
    </row>
    <row r="3" spans="1:5" x14ac:dyDescent="0.25">
      <c r="A3" s="8" t="s">
        <v>83</v>
      </c>
    </row>
    <row r="4" spans="1:5" x14ac:dyDescent="0.25">
      <c r="A4" s="8" t="s">
        <v>46</v>
      </c>
    </row>
    <row r="5" spans="1:5" x14ac:dyDescent="0.25">
      <c r="A5" s="8" t="s">
        <v>47</v>
      </c>
    </row>
    <row r="6" spans="1:5" hidden="1" outlineLevel="1" x14ac:dyDescent="0.25">
      <c r="A6" s="8"/>
      <c r="B6" t="s">
        <v>48</v>
      </c>
    </row>
    <row r="7" spans="1:5" hidden="1" outlineLevel="1" x14ac:dyDescent="0.25">
      <c r="A7" s="8"/>
      <c r="B7" t="s">
        <v>84</v>
      </c>
    </row>
    <row r="8" spans="1:5" hidden="1" outlineLevel="1" x14ac:dyDescent="0.25">
      <c r="A8" s="8"/>
      <c r="B8" t="s">
        <v>85</v>
      </c>
    </row>
    <row r="9" spans="1:5" collapsed="1" x14ac:dyDescent="0.25">
      <c r="A9" s="8" t="s">
        <v>51</v>
      </c>
    </row>
    <row r="10" spans="1:5" hidden="1" outlineLevel="1" x14ac:dyDescent="0.25">
      <c r="B10" t="s">
        <v>52</v>
      </c>
    </row>
    <row r="11" spans="1:5" hidden="1" outlineLevel="1" x14ac:dyDescent="0.25">
      <c r="B11" t="s">
        <v>53</v>
      </c>
    </row>
    <row r="12" spans="1:5" hidden="1" outlineLevel="1" x14ac:dyDescent="0.25">
      <c r="B12" t="s">
        <v>54</v>
      </c>
    </row>
    <row r="13" spans="1:5" collapsed="1" x14ac:dyDescent="0.25"/>
    <row r="14" spans="1:5" ht="15.75" thickBot="1" x14ac:dyDescent="0.3">
      <c r="A14" t="s">
        <v>55</v>
      </c>
    </row>
    <row r="15" spans="1:5" ht="15.75" thickBot="1" x14ac:dyDescent="0.3">
      <c r="B15" s="13" t="s">
        <v>56</v>
      </c>
      <c r="C15" s="13" t="s">
        <v>57</v>
      </c>
      <c r="D15" s="13" t="s">
        <v>58</v>
      </c>
      <c r="E15" s="13" t="s">
        <v>59</v>
      </c>
    </row>
    <row r="16" spans="1:5" ht="15.75" thickBot="1" x14ac:dyDescent="0.3">
      <c r="B16" s="12" t="s">
        <v>67</v>
      </c>
      <c r="C16" s="12" t="s">
        <v>34</v>
      </c>
      <c r="D16" s="16">
        <v>42775.155387742139</v>
      </c>
      <c r="E16" s="16">
        <v>42775.155387742139</v>
      </c>
    </row>
    <row r="19" spans="1:7" ht="15.75" thickBot="1" x14ac:dyDescent="0.3">
      <c r="A19" t="s">
        <v>60</v>
      </c>
    </row>
    <row r="20" spans="1:7" ht="15.75" thickBot="1" x14ac:dyDescent="0.3">
      <c r="B20" s="13" t="s">
        <v>56</v>
      </c>
      <c r="C20" s="13" t="s">
        <v>57</v>
      </c>
      <c r="D20" s="13" t="s">
        <v>58</v>
      </c>
      <c r="E20" s="13" t="s">
        <v>59</v>
      </c>
      <c r="F20" s="13" t="s">
        <v>61</v>
      </c>
    </row>
    <row r="21" spans="1:7" x14ac:dyDescent="0.25">
      <c r="B21" s="20" t="s">
        <v>87</v>
      </c>
      <c r="C21" s="19"/>
      <c r="D21" s="19"/>
      <c r="E21" s="19"/>
      <c r="F21" s="19"/>
    </row>
    <row r="22" spans="1:7" hidden="1" outlineLevel="1" x14ac:dyDescent="0.25">
      <c r="B22" s="15" t="s">
        <v>68</v>
      </c>
      <c r="C22" s="15" t="s">
        <v>16</v>
      </c>
      <c r="D22" s="17">
        <v>10</v>
      </c>
      <c r="E22" s="17">
        <v>10</v>
      </c>
      <c r="F22" s="15" t="s">
        <v>61</v>
      </c>
    </row>
    <row r="23" spans="1:7" hidden="1" outlineLevel="1" x14ac:dyDescent="0.25">
      <c r="B23" s="15" t="s">
        <v>69</v>
      </c>
      <c r="C23" s="15" t="s">
        <v>17</v>
      </c>
      <c r="D23" s="17">
        <v>20</v>
      </c>
      <c r="E23" s="17">
        <v>20</v>
      </c>
      <c r="F23" s="15" t="s">
        <v>61</v>
      </c>
    </row>
    <row r="24" spans="1:7" ht="15.75" hidden="1" outlineLevel="1" thickBot="1" x14ac:dyDescent="0.3">
      <c r="B24" s="12" t="s">
        <v>70</v>
      </c>
      <c r="C24" s="12" t="s">
        <v>18</v>
      </c>
      <c r="D24" s="16">
        <v>30</v>
      </c>
      <c r="E24" s="16">
        <v>30</v>
      </c>
      <c r="F24" s="12" t="s">
        <v>61</v>
      </c>
    </row>
    <row r="25" spans="1:7" collapsed="1" x14ac:dyDescent="0.25">
      <c r="B25" s="14"/>
      <c r="C25" s="14"/>
      <c r="D25" s="18"/>
      <c r="E25" s="18"/>
      <c r="F25" s="14"/>
    </row>
    <row r="28" spans="1:7" ht="15.75" thickBot="1" x14ac:dyDescent="0.3">
      <c r="A28" t="s">
        <v>62</v>
      </c>
    </row>
    <row r="29" spans="1:7" ht="15.75" thickBot="1" x14ac:dyDescent="0.3">
      <c r="B29" s="13" t="s">
        <v>56</v>
      </c>
      <c r="C29" s="13" t="s">
        <v>57</v>
      </c>
      <c r="D29" s="13" t="s">
        <v>63</v>
      </c>
      <c r="E29" s="13" t="s">
        <v>64</v>
      </c>
      <c r="F29" s="13" t="s">
        <v>65</v>
      </c>
      <c r="G29" s="13" t="s">
        <v>66</v>
      </c>
    </row>
    <row r="30" spans="1:7" x14ac:dyDescent="0.25">
      <c r="B30" s="15" t="s">
        <v>71</v>
      </c>
      <c r="C30" s="15" t="s">
        <v>35</v>
      </c>
      <c r="D30" s="17">
        <v>60</v>
      </c>
      <c r="E30" s="15" t="s">
        <v>72</v>
      </c>
      <c r="F30" s="15" t="s">
        <v>73</v>
      </c>
      <c r="G30" s="15">
        <v>4</v>
      </c>
    </row>
    <row r="31" spans="1:7" x14ac:dyDescent="0.25">
      <c r="B31" s="15" t="s">
        <v>74</v>
      </c>
      <c r="C31" s="15" t="s">
        <v>25</v>
      </c>
      <c r="D31" s="17">
        <v>5276.8228463282185</v>
      </c>
      <c r="E31" s="15" t="s">
        <v>75</v>
      </c>
      <c r="F31" s="15" t="s">
        <v>73</v>
      </c>
      <c r="G31" s="15">
        <v>1203.1771536717824</v>
      </c>
    </row>
    <row r="32" spans="1:7" x14ac:dyDescent="0.25">
      <c r="B32" s="15" t="s">
        <v>68</v>
      </c>
      <c r="C32" s="15" t="s">
        <v>16</v>
      </c>
      <c r="D32" s="17">
        <v>10</v>
      </c>
      <c r="E32" s="15" t="s">
        <v>76</v>
      </c>
      <c r="F32" s="15" t="s">
        <v>86</v>
      </c>
      <c r="G32" s="15">
        <v>0</v>
      </c>
    </row>
    <row r="33" spans="2:7" x14ac:dyDescent="0.25">
      <c r="B33" s="15" t="s">
        <v>69</v>
      </c>
      <c r="C33" s="15" t="s">
        <v>17</v>
      </c>
      <c r="D33" s="17">
        <v>20</v>
      </c>
      <c r="E33" s="15" t="s">
        <v>77</v>
      </c>
      <c r="F33" s="15" t="s">
        <v>86</v>
      </c>
      <c r="G33" s="15">
        <v>0</v>
      </c>
    </row>
    <row r="34" spans="2:7" x14ac:dyDescent="0.25">
      <c r="B34" s="15" t="s">
        <v>70</v>
      </c>
      <c r="C34" s="15" t="s">
        <v>18</v>
      </c>
      <c r="D34" s="17">
        <v>30</v>
      </c>
      <c r="E34" s="15" t="s">
        <v>78</v>
      </c>
      <c r="F34" s="15" t="s">
        <v>86</v>
      </c>
      <c r="G34" s="15">
        <v>0</v>
      </c>
    </row>
    <row r="35" spans="2:7" ht="15.75" thickBot="1" x14ac:dyDescent="0.3">
      <c r="B35" s="12" t="s">
        <v>79</v>
      </c>
      <c r="C35" s="12"/>
      <c r="D35" s="12"/>
      <c r="E35" s="12"/>
      <c r="F35" s="12"/>
      <c r="G35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Calculations</vt:lpstr>
      <vt:lpstr>Optimization</vt:lpstr>
      <vt:lpstr>Checks</vt:lpstr>
      <vt:lpstr>Example Answer Report 1</vt:lpstr>
      <vt:lpstr>Example Answer Report 2</vt:lpstr>
      <vt:lpstr>Hypothesis Answer Report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Kim</dc:creator>
  <cp:lastModifiedBy>Sebastian Kim</cp:lastModifiedBy>
  <dcterms:created xsi:type="dcterms:W3CDTF">2026-10-09T20:37:39Z</dcterms:created>
  <dcterms:modified xsi:type="dcterms:W3CDTF">2026-10-10T06:18:11Z</dcterms:modified>
</cp:coreProperties>
</file>