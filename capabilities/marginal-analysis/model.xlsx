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fd52bb83a98f88c/Desktop/BUS 620 Economics/"/>
    </mc:Choice>
  </mc:AlternateContent>
  <xr:revisionPtr revIDLastSave="1997" documentId="8_{202E0E92-0A53-4DF2-844D-22EFC22CE560}" xr6:coauthVersionLast="47" xr6:coauthVersionMax="47" xr10:uidLastSave="{1297A18D-1302-4989-A597-7C0EDDDF2F14}"/>
  <bookViews>
    <workbookView xWindow="105" yWindow="705" windowWidth="22935" windowHeight="13935" firstSheet="5" activeTab="8" xr2:uid="{CB3B63E6-161E-4EB6-9C62-E77ECB56D41C}"/>
  </bookViews>
  <sheets>
    <sheet name="Inputs" sheetId="8" r:id="rId1"/>
    <sheet name="Calculations" sheetId="2" r:id="rId2"/>
    <sheet name="Optimization" sheetId="3" r:id="rId3"/>
    <sheet name="Checks" sheetId="4" r:id="rId4"/>
    <sheet name="Example Answer Report 1" sheetId="5" r:id="rId5"/>
    <sheet name="Example Answer Report 2" sheetId="7" r:id="rId6"/>
    <sheet name="Hypothesis Report " sheetId="9" r:id="rId7"/>
    <sheet name="Marginal Cost" sheetId="10" r:id="rId8"/>
    <sheet name="Cost Structure" sheetId="11" r:id="rId9"/>
  </sheets>
  <definedNames>
    <definedName name="CARROT_BED_CAP">Inputs!$B$19</definedName>
    <definedName name="CARROT_DIM_PCT">Inputs!$B$23</definedName>
    <definedName name="CARROT_FERTILIZER_PER_BED">Inputs!$B$22</definedName>
    <definedName name="CARROT_HRS_PER_BED">Inputs!$B$21</definedName>
    <definedName name="CARROT_REVENUE_PER_BED">Inputs!$B$20</definedName>
    <definedName name="CARROTS_DIM_PCT">Inputs!$B$23</definedName>
    <definedName name="CARROTS_HRS_PER_BED">Inputs!$B$21</definedName>
    <definedName name="FARMER_HOURS">Inputs!$B$5</definedName>
    <definedName name="FARMER_RATE">Inputs!$B$6</definedName>
    <definedName name="FIXED_COSTS">Inputs!$B$3</definedName>
    <definedName name="MESCLUN_BED_CAP">Inputs!$B$26</definedName>
    <definedName name="MESCLUN_DIM_PCT">Inputs!$B$30</definedName>
    <definedName name="MESCLUN_FERTILIZER_PER_BED">Inputs!$B$29</definedName>
    <definedName name="MESCLUN_HRS_PER_BED">Inputs!$B$28</definedName>
    <definedName name="MESCLUN_REVENUE_PER_BED">Inputs!$B$27</definedName>
    <definedName name="solver_adj" localSheetId="2" hidden="1">Optimization!$B$1:$B$3</definedName>
    <definedName name="solver_cvg" localSheetId="2" hidden="1">0.0001</definedName>
    <definedName name="solver_drv" localSheetId="2" hidden="1">1</definedName>
    <definedName name="solver_eng" localSheetId="1" hidden="1">1</definedName>
    <definedName name="solver_eng" localSheetId="3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Optimization!$B$1</definedName>
    <definedName name="solver_lhs2" localSheetId="2" hidden="1">Optimization!$B$1:$B$3</definedName>
    <definedName name="solver_lhs3" localSheetId="2" hidden="1">Optimization!$B$2</definedName>
    <definedName name="solver_lhs4" localSheetId="2" hidden="1">Optimization!$B$3</definedName>
    <definedName name="solver_lhs5" localSheetId="2" hidden="1">Optimization!$B$5</definedName>
    <definedName name="solver_lhs6" localSheetId="2" hidden="1">Optimization!$B$6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1" hidden="1">1</definedName>
    <definedName name="solver_neg" localSheetId="3" hidden="1">1</definedName>
    <definedName name="solver_neg" localSheetId="2" hidden="1">1</definedName>
    <definedName name="solver_nod" localSheetId="2" hidden="1">2147483647</definedName>
    <definedName name="solver_num" localSheetId="1" hidden="1">0</definedName>
    <definedName name="solver_num" localSheetId="3" hidden="1">0</definedName>
    <definedName name="solver_num" localSheetId="2" hidden="1">6</definedName>
    <definedName name="solver_nwt" localSheetId="2" hidden="1">1</definedName>
    <definedName name="solver_opt" localSheetId="1" hidden="1">Calculations!$B$21</definedName>
    <definedName name="solver_opt" localSheetId="3" hidden="1">Checks!#REF!</definedName>
    <definedName name="solver_opt" localSheetId="2" hidden="1">Optimization!$B$7</definedName>
    <definedName name="solver_pre" localSheetId="2" hidden="1">0.000001</definedName>
    <definedName name="solver_rbv" localSheetId="2" hidden="1">1</definedName>
    <definedName name="solver_rel1" localSheetId="2" hidden="1">1</definedName>
    <definedName name="solver_rel2" localSheetId="2" hidden="1">4</definedName>
    <definedName name="solver_rel3" localSheetId="2" hidden="1">1</definedName>
    <definedName name="solver_rel4" localSheetId="2" hidden="1">1</definedName>
    <definedName name="solver_rel5" localSheetId="2" hidden="1">1</definedName>
    <definedName name="solver_rel6" localSheetId="2" hidden="1">1</definedName>
    <definedName name="solver_rhs1" localSheetId="2" hidden="1">20</definedName>
    <definedName name="solver_rhs2" localSheetId="2" hidden="1">"integer"</definedName>
    <definedName name="solver_rhs3" localSheetId="2" hidden="1">20</definedName>
    <definedName name="solver_rhs4" localSheetId="2" hidden="1">30</definedName>
    <definedName name="solver_rhs5" localSheetId="2" hidden="1">64</definedName>
    <definedName name="solver_rhs6" localSheetId="2" hidden="1">6480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1" hidden="1">1</definedName>
    <definedName name="solver_typ" localSheetId="3" hidden="1">1</definedName>
    <definedName name="solver_typ" localSheetId="2" hidden="1">1</definedName>
    <definedName name="solver_val" localSheetId="1" hidden="1">0</definedName>
    <definedName name="solver_val" localSheetId="3" hidden="1">0</definedName>
    <definedName name="solver_val" localSheetId="2" hidden="1">0</definedName>
    <definedName name="solver_ver" localSheetId="1" hidden="1">3</definedName>
    <definedName name="solver_ver" localSheetId="3" hidden="1">3</definedName>
    <definedName name="solver_ver" localSheetId="2" hidden="1">3</definedName>
    <definedName name="TEMP_WORKER_RATE">Inputs!$B$9</definedName>
    <definedName name="TEMP_WORKERS_HOURS">Inputs!$B$8</definedName>
    <definedName name="TEMP_WORKERS_MAX">Inputs!$B$7</definedName>
    <definedName name="TOMATO_BED_CAP">Inputs!$B$12</definedName>
    <definedName name="TOMATO_DIM_PCT">Inputs!$B$16</definedName>
    <definedName name="TOMATO_FERTILIZER_PER_BED">Inputs!$B$15</definedName>
    <definedName name="TOMATO_HRS_PER_BED">Inputs!$B$14</definedName>
    <definedName name="TOMATO_REVENUE_PER_BED">Inputs!$B$13</definedName>
    <definedName name="TOTAL_BEDS">Inputs!$B$4</definedName>
    <definedName name="WEEKS">Inputs!$B$2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1" l="1"/>
  <c r="B1" i="11"/>
  <c r="B6" i="11"/>
  <c r="B4" i="11"/>
  <c r="B3" i="11"/>
  <c r="B5" i="11"/>
  <c r="B29" i="4"/>
  <c r="B28" i="4"/>
  <c r="B24" i="4"/>
  <c r="B25" i="4" s="1"/>
  <c r="B49" i="10"/>
  <c r="C50" i="10" s="1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26" i="10"/>
  <c r="B27" i="10"/>
  <c r="B28" i="10"/>
  <c r="C28" i="10" s="1"/>
  <c r="B29" i="10"/>
  <c r="C29" i="10" s="1"/>
  <c r="B30" i="10"/>
  <c r="C30" i="10" s="1"/>
  <c r="B31" i="10"/>
  <c r="C31" i="10" s="1"/>
  <c r="B32" i="10"/>
  <c r="C32" i="10" s="1"/>
  <c r="B33" i="10"/>
  <c r="C33" i="10" s="1"/>
  <c r="B34" i="10"/>
  <c r="C34" i="10" s="1"/>
  <c r="B35" i="10"/>
  <c r="C35" i="10" s="1"/>
  <c r="B36" i="10"/>
  <c r="C36" i="10" s="1"/>
  <c r="B37" i="10"/>
  <c r="C37" i="10" s="1"/>
  <c r="B38" i="10"/>
  <c r="C38" i="10" s="1"/>
  <c r="B39" i="10"/>
  <c r="C39" i="10" s="1"/>
  <c r="B40" i="10"/>
  <c r="C40" i="10" s="1"/>
  <c r="B41" i="10"/>
  <c r="C41" i="10" s="1"/>
  <c r="B42" i="10"/>
  <c r="C42" i="10" s="1"/>
  <c r="B43" i="10"/>
  <c r="C43" i="10" s="1"/>
  <c r="B44" i="10"/>
  <c r="C44" i="10" s="1"/>
  <c r="B45" i="10"/>
  <c r="C45" i="10" s="1"/>
  <c r="B4" i="10"/>
  <c r="B5" i="10"/>
  <c r="C5" i="10" s="1"/>
  <c r="B6" i="10"/>
  <c r="C6" i="10" s="1"/>
  <c r="B7" i="10"/>
  <c r="C7" i="10" s="1"/>
  <c r="B8" i="10"/>
  <c r="C8" i="10" s="1"/>
  <c r="B9" i="10"/>
  <c r="C9" i="10" s="1"/>
  <c r="B10" i="10"/>
  <c r="C10" i="10" s="1"/>
  <c r="B11" i="10"/>
  <c r="C11" i="10" s="1"/>
  <c r="B12" i="10"/>
  <c r="C12" i="10" s="1"/>
  <c r="B13" i="10"/>
  <c r="C13" i="10" s="1"/>
  <c r="B14" i="10"/>
  <c r="C14" i="10" s="1"/>
  <c r="B15" i="10"/>
  <c r="C15" i="10" s="1"/>
  <c r="B16" i="10"/>
  <c r="C16" i="10" s="1"/>
  <c r="B17" i="10"/>
  <c r="C17" i="10" s="1"/>
  <c r="B18" i="10"/>
  <c r="C18" i="10" s="1"/>
  <c r="B19" i="10"/>
  <c r="C19" i="10" s="1"/>
  <c r="B20" i="10"/>
  <c r="C20" i="10" s="1"/>
  <c r="B21" i="10"/>
  <c r="C21" i="10" s="1"/>
  <c r="B22" i="10"/>
  <c r="C22" i="10" s="1"/>
  <c r="B3" i="10"/>
  <c r="B15" i="4"/>
  <c r="B16" i="4" s="1"/>
  <c r="B11" i="4"/>
  <c r="B12" i="4" s="1"/>
  <c r="B7" i="4"/>
  <c r="B8" i="4" s="1"/>
  <c r="B3" i="2"/>
  <c r="B2" i="2"/>
  <c r="B6" i="2" s="1" a="1"/>
  <c r="B1" i="2"/>
  <c r="B3" i="4"/>
  <c r="B4" i="4" s="1"/>
  <c r="B5" i="3"/>
  <c r="C4" i="10" l="1"/>
  <c r="C27" i="10"/>
  <c r="B17" i="2"/>
  <c r="B12" i="2"/>
  <c r="B7" i="2"/>
  <c r="B16" i="2"/>
  <c r="B11" i="2"/>
  <c r="B10" i="2"/>
  <c r="B15" i="2"/>
  <c r="B5" i="2"/>
  <c r="B18" i="2" l="1"/>
  <c r="B13" i="2"/>
  <c r="B8" i="2"/>
  <c r="B20" i="2" s="1"/>
  <c r="B21" i="2" l="1"/>
  <c r="B22" i="2" s="1"/>
  <c r="B24" i="2" s="1"/>
  <c r="B7" i="3" s="1"/>
  <c r="B19" i="4" s="1"/>
  <c r="B21" i="4" s="1"/>
  <c r="B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<sst xmlns="http://schemas.openxmlformats.org/spreadsheetml/2006/main" count="329" uniqueCount="137">
  <si>
    <t>WEEKS</t>
  </si>
  <si>
    <t>Value</t>
  </si>
  <si>
    <t>Tomatoes</t>
  </si>
  <si>
    <t>Carrots</t>
  </si>
  <si>
    <t>Mesclun</t>
  </si>
  <si>
    <t>Tomato Beds</t>
  </si>
  <si>
    <t>Carrot Beds</t>
  </si>
  <si>
    <t>Mesclun Beds</t>
  </si>
  <si>
    <t>Tomato Labor</t>
  </si>
  <si>
    <t>Carrot Labor</t>
  </si>
  <si>
    <t>Mesclun Labor</t>
  </si>
  <si>
    <t>Total Labor</t>
  </si>
  <si>
    <t>Tomato Revenue</t>
  </si>
  <si>
    <t>Carrot Revenue</t>
  </si>
  <si>
    <t>Meslcun Revenue</t>
  </si>
  <si>
    <t>Total Revenue</t>
  </si>
  <si>
    <t>Tomato Fertilizer</t>
  </si>
  <si>
    <t>Carrot Fertilizer</t>
  </si>
  <si>
    <t>Mesclun Fertilizer</t>
  </si>
  <si>
    <t>Total Fertilizer</t>
  </si>
  <si>
    <t>Season Profit</t>
  </si>
  <si>
    <t>Total Beds</t>
  </si>
  <si>
    <t>Tomato q=1 Check</t>
  </si>
  <si>
    <t>Expected</t>
  </si>
  <si>
    <t>Actual</t>
  </si>
  <si>
    <t>Result</t>
  </si>
  <si>
    <t>Expected Tomatoes</t>
  </si>
  <si>
    <t>Expected Carrots</t>
  </si>
  <si>
    <t>Expected Mesclun</t>
  </si>
  <si>
    <t>Microsoft Excel 16.0 Answer Report</t>
  </si>
  <si>
    <t>Worksheet: [model.xlsx]Optimization</t>
  </si>
  <si>
    <t>Report Created: 10/9/2026 11:23:46 AM</t>
  </si>
  <si>
    <t>Result: Solver found a solution.  All Constraints and optimality conditions are satisfied.</t>
  </si>
  <si>
    <t>Solver Engine</t>
  </si>
  <si>
    <t>Engine: GRG Nonlinear</t>
  </si>
  <si>
    <t>Solution Time: 0.093 Seconds.</t>
  </si>
  <si>
    <t>Iterations: 0 Subproblems: 0</t>
  </si>
  <si>
    <t>Solver Options</t>
  </si>
  <si>
    <t>Max Time Unlimited,  Iterations Unlimited, Precision 0.000001, Use Automatic Scaling</t>
  </si>
  <si>
    <t xml:space="preserve"> Convergence 0.0001, Population Size 100, Random Seed 0, Derivatives Forward, Require Bounds</t>
  </si>
  <si>
    <t>Max Subproblems Unlimited, Max Integer Sols Unlimited, Integer Tolerance 1%, Assume NonNegative</t>
  </si>
  <si>
    <t>Objective Cell (Max)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</si>
  <si>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</si>
  <si>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</si>
  <si>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</si>
  <si>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</si>
  <si>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</si>
  <si>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</si>
  <si>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</si>
  <si>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</si>
  <si>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</si>
  <si>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</si>
  <si>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Slack</t>
  </si>
  <si>
    <t>$B$7</t>
  </si>
  <si>
    <t>$B$1</t>
  </si>
  <si>
    <t>$B$2</t>
  </si>
  <si>
    <t>$B$3</t>
  </si>
  <si>
    <t>$B$5</t>
  </si>
  <si>
    <t>$B$5&lt;=64</t>
  </si>
  <si>
    <t>Not Binding</t>
  </si>
  <si>
    <t>$B$6</t>
  </si>
  <si>
    <t>$B$6&lt;=6480</t>
  </si>
  <si>
    <t>$B$1&lt;=20</t>
  </si>
  <si>
    <t>$B$2&lt;=20</t>
  </si>
  <si>
    <t>$B$3&lt;=30</t>
  </si>
  <si>
    <t>$B$1:$B$3=Integer</t>
  </si>
  <si>
    <t>Permanent Labor Cost</t>
  </si>
  <si>
    <t>Temporary Labor Cost</t>
  </si>
  <si>
    <t>Total Labor Cost</t>
  </si>
  <si>
    <t>Iterations: 0 Subproblems: 2</t>
  </si>
  <si>
    <t>Binding</t>
  </si>
  <si>
    <t>$B$1:$B$3</t>
  </si>
  <si>
    <t>Report Created: 10/9/2026 8:17:23 PM</t>
  </si>
  <si>
    <t>Solution Time: 0.64 Seconds.</t>
  </si>
  <si>
    <t>Input Name</t>
  </si>
  <si>
    <t>Unit</t>
  </si>
  <si>
    <t>Source</t>
  </si>
  <si>
    <t>Weeks</t>
  </si>
  <si>
    <t>Case Scenario</t>
  </si>
  <si>
    <t>Beds</t>
  </si>
  <si>
    <t>Dollars</t>
  </si>
  <si>
    <t>Hours</t>
  </si>
  <si>
    <t>FARMER_RATE</t>
  </si>
  <si>
    <t>FARMER_HOURS</t>
  </si>
  <si>
    <t>TOTAL_BEDS</t>
  </si>
  <si>
    <t>FIXED_COSTS</t>
  </si>
  <si>
    <t>Dollars/hour</t>
  </si>
  <si>
    <t>TEMP_WORKERS_MAX</t>
  </si>
  <si>
    <t>Workers</t>
  </si>
  <si>
    <t>TEMP_WORKERS_HOURS</t>
  </si>
  <si>
    <t>Hours/worker</t>
  </si>
  <si>
    <t>TEMP_WORKER_RATE</t>
  </si>
  <si>
    <t>TOMATO_BED_CAP</t>
  </si>
  <si>
    <t>Dollars/bed</t>
  </si>
  <si>
    <t>TOMATO_HRS_PER_BED</t>
  </si>
  <si>
    <t>Hours/week/bed</t>
  </si>
  <si>
    <t>TOMATO_FERTILIZER_PER_BED</t>
  </si>
  <si>
    <t>TOMATO_REVENUE_PER_BED</t>
  </si>
  <si>
    <t>TOMATO_DIM_PCT</t>
  </si>
  <si>
    <t>Percent</t>
  </si>
  <si>
    <t>CARROT_BED_CAP</t>
  </si>
  <si>
    <t>CARROT_REVENUE_PER_BED</t>
  </si>
  <si>
    <t>CARROT_FERTILIZER_PER_BED</t>
  </si>
  <si>
    <t>MESCLUN_BED_CAP</t>
  </si>
  <si>
    <t>MESCLUN_REVENUE_PER_BED</t>
  </si>
  <si>
    <t>MESCLUN_HRS_PER_BED</t>
  </si>
  <si>
    <t>Hours/weeks/bed</t>
  </si>
  <si>
    <t>MESCLUN_FERTILIZER_PER_BED</t>
  </si>
  <si>
    <t>MESCLUN_DIM_PCT</t>
  </si>
  <si>
    <t>CARROT_HRS_PER_BED</t>
  </si>
  <si>
    <t>CARROT_DIM_PCT</t>
  </si>
  <si>
    <t>Actual Tomatoes</t>
  </si>
  <si>
    <t>Tomato Result</t>
  </si>
  <si>
    <t>Actual Carrots</t>
  </si>
  <si>
    <t>Carrot Result</t>
  </si>
  <si>
    <t>Actual Meslcun</t>
  </si>
  <si>
    <t>Meslcun Result</t>
  </si>
  <si>
    <t>Expected Profit</t>
  </si>
  <si>
    <t>Actual Profit</t>
  </si>
  <si>
    <t>Tolerance</t>
  </si>
  <si>
    <t>Tolerance Result</t>
  </si>
  <si>
    <t>Report Created: 10/14/2026 4:12:05 PM</t>
  </si>
  <si>
    <t>Solution Time: 0.375 Seconds.</t>
  </si>
  <si>
    <t>Tomato Marginal Cost Schedule</t>
  </si>
  <si>
    <t>Total Cost</t>
  </si>
  <si>
    <t>Marginal Cost</t>
  </si>
  <si>
    <t>N/A</t>
  </si>
  <si>
    <t>Carrot Marginal  Cost Schedule</t>
  </si>
  <si>
    <t>Mesclun Marginal Cost Schedule</t>
  </si>
  <si>
    <t>Expxected Max Beds</t>
  </si>
  <si>
    <t>Actual Beds Used</t>
  </si>
  <si>
    <t>Beds Result</t>
  </si>
  <si>
    <t>Expected Max Labor</t>
  </si>
  <si>
    <t>Actual Labor</t>
  </si>
  <si>
    <t xml:space="preserve">Labor Result </t>
  </si>
  <si>
    <t>Total Fertilizer Cost</t>
  </si>
  <si>
    <t>Fixed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</si>
</sst>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1"/>
      <color indexed="18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2" xfId="0" applyBorder="1"/>
    <xf numFmtId="0" fontId="3" fillId="0" borderId="1" xfId="0" applyFont="1" applyBorder="1" applyAlignment="1">
      <alignment horizontal="center"/>
    </xf>
    <xf numFmtId="0" fontId="0" fillId="0" borderId="3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5" fillId="3" borderId="0" xfId="0" applyFont="1" applyFill="1" applyAlignment="1">
      <alignment vertical="center" wrapText="1"/>
    </xf>
    <xf numFmtId="0" fontId="5" fillId="0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F7598-F010-4D32-85F4-44B41133FC14}">
  <dimension ref="A1:D30"/>
  <sheetViews>
    <sheetView workbookViewId="0">
      <selection activeCell="A28" sqref="A28"/>
    </sheetView>
  </sheetViews>
  <sheetFormatPr defaultRowHeight="15" x14ac:dyDescent="0.25"/>
  <cols>
    <col min="1" max="1" width="29.140625" customWidth="1"/>
    <col min="2" max="2" width="15.140625" customWidth="1"/>
    <col min="3" max="3" width="16.85546875" customWidth="1"/>
  </cols>
  <sheetData>
    <row r="1" spans="1:4" x14ac:dyDescent="0.25">
      <c r="A1" s="11" t="s">
        <v>74</v>
      </c>
      <c r="B1" s="5" t="s">
        <v>1</v>
      </c>
      <c r="C1" s="5" t="s">
        <v>75</v>
      </c>
      <c r="D1" s="5" t="s">
        <v>76</v>
      </c>
    </row>
    <row r="2" spans="1:4" ht="30" x14ac:dyDescent="0.25">
      <c r="A2" s="12" t="s">
        <v>0</v>
      </c>
      <c r="B2">
        <v>36</v>
      </c>
      <c r="C2" t="s">
        <v>77</v>
      </c>
      <c r="D2" s="1" t="s">
        <v>78</v>
      </c>
    </row>
    <row r="3" spans="1:4" ht="30" x14ac:dyDescent="0.25">
      <c r="A3" s="12" t="s">
        <v>85</v>
      </c>
      <c r="B3">
        <v>20000</v>
      </c>
      <c r="C3" t="s">
        <v>80</v>
      </c>
      <c r="D3" s="1" t="s">
        <v>78</v>
      </c>
    </row>
    <row r="4" spans="1:4" ht="30" x14ac:dyDescent="0.25">
      <c r="A4" s="12" t="s">
        <v>84</v>
      </c>
      <c r="B4">
        <v>64</v>
      </c>
      <c r="C4" t="s">
        <v>79</v>
      </c>
      <c r="D4" s="1" t="s">
        <v>78</v>
      </c>
    </row>
    <row r="5" spans="1:4" ht="30" x14ac:dyDescent="0.25">
      <c r="A5" s="13" t="s">
        <v>83</v>
      </c>
      <c r="B5">
        <v>720</v>
      </c>
      <c r="C5" t="s">
        <v>81</v>
      </c>
      <c r="D5" s="1" t="s">
        <v>78</v>
      </c>
    </row>
    <row r="6" spans="1:4" ht="30" x14ac:dyDescent="0.25">
      <c r="A6" s="12" t="s">
        <v>82</v>
      </c>
      <c r="B6">
        <v>34.72</v>
      </c>
      <c r="C6" s="1" t="s">
        <v>86</v>
      </c>
      <c r="D6" s="1" t="s">
        <v>78</v>
      </c>
    </row>
    <row r="7" spans="1:4" ht="30" x14ac:dyDescent="0.25">
      <c r="A7" s="12" t="s">
        <v>87</v>
      </c>
      <c r="B7">
        <v>4</v>
      </c>
      <c r="C7" t="s">
        <v>88</v>
      </c>
      <c r="D7" s="1" t="s">
        <v>78</v>
      </c>
    </row>
    <row r="8" spans="1:4" ht="30" x14ac:dyDescent="0.25">
      <c r="A8" s="12" t="s">
        <v>89</v>
      </c>
      <c r="B8">
        <v>1440</v>
      </c>
      <c r="C8" t="s">
        <v>90</v>
      </c>
      <c r="D8" s="1" t="s">
        <v>78</v>
      </c>
    </row>
    <row r="9" spans="1:4" ht="30" x14ac:dyDescent="0.25">
      <c r="A9" s="12" t="s">
        <v>91</v>
      </c>
      <c r="B9">
        <v>17.36</v>
      </c>
      <c r="C9" t="s">
        <v>86</v>
      </c>
      <c r="D9" s="1" t="s">
        <v>78</v>
      </c>
    </row>
    <row r="10" spans="1:4" x14ac:dyDescent="0.25">
      <c r="A10" s="12"/>
    </row>
    <row r="11" spans="1:4" x14ac:dyDescent="0.25">
      <c r="A11" s="12"/>
    </row>
    <row r="12" spans="1:4" ht="30" x14ac:dyDescent="0.25">
      <c r="A12" s="12" t="s">
        <v>92</v>
      </c>
      <c r="B12">
        <v>20</v>
      </c>
      <c r="C12" t="s">
        <v>79</v>
      </c>
      <c r="D12" s="1" t="s">
        <v>78</v>
      </c>
    </row>
    <row r="13" spans="1:4" ht="30" x14ac:dyDescent="0.25">
      <c r="A13" s="12" t="s">
        <v>97</v>
      </c>
      <c r="B13">
        <v>8800</v>
      </c>
      <c r="C13" t="s">
        <v>93</v>
      </c>
      <c r="D13" s="1" t="s">
        <v>78</v>
      </c>
    </row>
    <row r="14" spans="1:4" ht="30" x14ac:dyDescent="0.25">
      <c r="A14" s="12" t="s">
        <v>94</v>
      </c>
      <c r="B14">
        <v>2.5</v>
      </c>
      <c r="C14" s="1" t="s">
        <v>95</v>
      </c>
      <c r="D14" s="1" t="s">
        <v>78</v>
      </c>
    </row>
    <row r="15" spans="1:4" ht="30" x14ac:dyDescent="0.25">
      <c r="A15" s="13" t="s">
        <v>96</v>
      </c>
      <c r="B15">
        <v>880</v>
      </c>
      <c r="C15" t="s">
        <v>93</v>
      </c>
      <c r="D15" s="1" t="s">
        <v>78</v>
      </c>
    </row>
    <row r="16" spans="1:4" ht="30" x14ac:dyDescent="0.25">
      <c r="A16" s="12" t="s">
        <v>98</v>
      </c>
      <c r="B16" s="2">
        <v>0.1</v>
      </c>
      <c r="C16" t="s">
        <v>99</v>
      </c>
      <c r="D16" s="1" t="s">
        <v>78</v>
      </c>
    </row>
    <row r="17" spans="1:4" x14ac:dyDescent="0.25">
      <c r="A17" s="12"/>
    </row>
    <row r="18" spans="1:4" x14ac:dyDescent="0.25">
      <c r="A18" s="12"/>
    </row>
    <row r="19" spans="1:4" ht="30" x14ac:dyDescent="0.25">
      <c r="A19" s="12" t="s">
        <v>100</v>
      </c>
      <c r="B19">
        <v>20</v>
      </c>
      <c r="C19" t="s">
        <v>79</v>
      </c>
      <c r="D19" s="1" t="s">
        <v>78</v>
      </c>
    </row>
    <row r="20" spans="1:4" ht="30" x14ac:dyDescent="0.25">
      <c r="A20" s="12" t="s">
        <v>101</v>
      </c>
      <c r="B20">
        <v>2094</v>
      </c>
      <c r="C20" t="s">
        <v>93</v>
      </c>
      <c r="D20" s="1" t="s">
        <v>78</v>
      </c>
    </row>
    <row r="21" spans="1:4" ht="30" x14ac:dyDescent="0.25">
      <c r="A21" s="12" t="s">
        <v>109</v>
      </c>
      <c r="B21">
        <v>0.83299999999999996</v>
      </c>
      <c r="C21" t="s">
        <v>95</v>
      </c>
      <c r="D21" s="1" t="s">
        <v>78</v>
      </c>
    </row>
    <row r="22" spans="1:4" ht="30" x14ac:dyDescent="0.25">
      <c r="A22" s="12" t="s">
        <v>102</v>
      </c>
      <c r="B22">
        <v>440</v>
      </c>
      <c r="C22" t="s">
        <v>93</v>
      </c>
      <c r="D22" s="1" t="s">
        <v>78</v>
      </c>
    </row>
    <row r="23" spans="1:4" ht="30" x14ac:dyDescent="0.25">
      <c r="A23" s="12" t="s">
        <v>110</v>
      </c>
      <c r="B23" s="3">
        <v>2.5000000000000001E-2</v>
      </c>
      <c r="C23" t="s">
        <v>99</v>
      </c>
      <c r="D23" s="1" t="s">
        <v>78</v>
      </c>
    </row>
    <row r="24" spans="1:4" x14ac:dyDescent="0.25">
      <c r="A24" s="12"/>
    </row>
    <row r="25" spans="1:4" x14ac:dyDescent="0.25">
      <c r="A25" s="12"/>
    </row>
    <row r="26" spans="1:4" ht="30" x14ac:dyDescent="0.25">
      <c r="A26" s="12" t="s">
        <v>103</v>
      </c>
      <c r="B26">
        <v>30</v>
      </c>
      <c r="C26" t="s">
        <v>79</v>
      </c>
      <c r="D26" s="1" t="s">
        <v>78</v>
      </c>
    </row>
    <row r="27" spans="1:4" ht="30" x14ac:dyDescent="0.25">
      <c r="A27" s="12" t="s">
        <v>104</v>
      </c>
      <c r="B27">
        <v>2700</v>
      </c>
      <c r="C27" t="s">
        <v>93</v>
      </c>
      <c r="D27" s="1" t="s">
        <v>78</v>
      </c>
    </row>
    <row r="28" spans="1:4" ht="30" x14ac:dyDescent="0.25">
      <c r="A28" s="12" t="s">
        <v>105</v>
      </c>
      <c r="B28">
        <v>1.25</v>
      </c>
      <c r="C28" t="s">
        <v>106</v>
      </c>
      <c r="D28" s="1" t="s">
        <v>78</v>
      </c>
    </row>
    <row r="29" spans="1:4" ht="30" x14ac:dyDescent="0.25">
      <c r="A29" s="13" t="s">
        <v>107</v>
      </c>
      <c r="B29">
        <v>880</v>
      </c>
      <c r="C29" t="s">
        <v>93</v>
      </c>
      <c r="D29" s="1" t="s">
        <v>78</v>
      </c>
    </row>
    <row r="30" spans="1:4" ht="30" x14ac:dyDescent="0.25">
      <c r="A30" s="12" t="s">
        <v>108</v>
      </c>
      <c r="B30" s="3">
        <v>1.2500000000000001E-2</v>
      </c>
      <c r="C30" t="s">
        <v>99</v>
      </c>
      <c r="D30" s="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689CE-34E3-44F4-85C3-871A0980CC5F}">
  <dimension ref="A1:B24"/>
  <sheetViews>
    <sheetView topLeftCell="A5" workbookViewId="0">
      <selection activeCell="B20" sqref="B20"/>
    </sheetView>
  </sheetViews>
  <sheetFormatPr defaultRowHeight="15" x14ac:dyDescent="0.25"/>
  <cols>
    <col min="1" max="1" width="17.7109375" customWidth="1"/>
  </cols>
  <sheetData>
    <row r="1" spans="1:2" ht="16.5" x14ac:dyDescent="0.25">
      <c r="A1" s="13" t="s">
        <v>5</v>
      </c>
      <c r="B1" s="4">
        <f>Optimization!B1</f>
        <v>10</v>
      </c>
    </row>
    <row r="2" spans="1:2" x14ac:dyDescent="0.25">
      <c r="A2" s="13" t="s">
        <v>6</v>
      </c>
      <c r="B2">
        <f>Optimization!B2</f>
        <v>20</v>
      </c>
    </row>
    <row r="3" spans="1:2" ht="16.5" x14ac:dyDescent="0.25">
      <c r="A3" s="13" t="s">
        <v>7</v>
      </c>
      <c r="B3" s="4">
        <f>Optimization!B3</f>
        <v>30</v>
      </c>
    </row>
    <row r="4" spans="1:2" x14ac:dyDescent="0.25">
      <c r="A4" s="12"/>
    </row>
    <row r="5" spans="1:2" ht="16.5" x14ac:dyDescent="0.25">
      <c r="A5" s="13" t="s">
        <v>8</v>
      </c>
      <c r="B5" s="4">
        <f>B1*TOMATO_HRS_PER_BED*WEEKS*(1+TOMATO_DIM_PCT)^B1</f>
        <v>2334.3682140900019</v>
      </c>
    </row>
    <row r="6" spans="1:2" ht="16.5" x14ac:dyDescent="0.25">
      <c r="A6" s="13" t="s">
        <v>9</v>
      </c>
      <c r="B6" s="4" cm="1">
        <f t="array" ref="B6">B2*CARROT_HRS_PER_BED*WEEKS*(1+CARROT_DIM_PCT)^B2</f>
        <v>982.77659622856766</v>
      </c>
    </row>
    <row r="7" spans="1:2" ht="16.5" x14ac:dyDescent="0.25">
      <c r="A7" s="13" t="s">
        <v>10</v>
      </c>
      <c r="B7" s="4">
        <f>B3*MESCLUN_HRS_PER_BED*WEEKS*(1+MESCLUN_DIM_PCT)^B3</f>
        <v>1959.6780360096488</v>
      </c>
    </row>
    <row r="8" spans="1:2" x14ac:dyDescent="0.25">
      <c r="A8" s="13" t="s">
        <v>11</v>
      </c>
      <c r="B8">
        <f>SUM(B5:B7)</f>
        <v>5276.8228463282185</v>
      </c>
    </row>
    <row r="9" spans="1:2" x14ac:dyDescent="0.25">
      <c r="A9" s="12"/>
    </row>
    <row r="10" spans="1:2" ht="16.5" x14ac:dyDescent="0.25">
      <c r="A10" s="13" t="s">
        <v>12</v>
      </c>
      <c r="B10" s="4">
        <f>B1*TOMATO_REVENUE_PER_BED</f>
        <v>88000</v>
      </c>
    </row>
    <row r="11" spans="1:2" ht="16.5" x14ac:dyDescent="0.25">
      <c r="A11" s="13" t="s">
        <v>13</v>
      </c>
      <c r="B11" s="4">
        <f>B2*CARROT_REVENUE_PER_BED</f>
        <v>41880</v>
      </c>
    </row>
    <row r="12" spans="1:2" ht="16.5" x14ac:dyDescent="0.25">
      <c r="A12" s="13" t="s">
        <v>14</v>
      </c>
      <c r="B12" s="4">
        <f>B3*MESCLUN_REVENUE_PER_BED</f>
        <v>81000</v>
      </c>
    </row>
    <row r="13" spans="1:2" ht="16.5" x14ac:dyDescent="0.25">
      <c r="A13" s="13" t="s">
        <v>15</v>
      </c>
      <c r="B13" s="4">
        <f>SUM(B10:B12)</f>
        <v>210880</v>
      </c>
    </row>
    <row r="14" spans="1:2" x14ac:dyDescent="0.25">
      <c r="A14" s="12"/>
    </row>
    <row r="15" spans="1:2" ht="16.5" x14ac:dyDescent="0.25">
      <c r="A15" s="13" t="s">
        <v>16</v>
      </c>
      <c r="B15" s="4">
        <f>B1*TOMATO_FERTILIZER_PER_BED</f>
        <v>8800</v>
      </c>
    </row>
    <row r="16" spans="1:2" ht="16.5" x14ac:dyDescent="0.25">
      <c r="A16" s="13" t="s">
        <v>17</v>
      </c>
      <c r="B16" s="4">
        <f>B2*CARROT_FERTILIZER_PER_BED</f>
        <v>8800</v>
      </c>
    </row>
    <row r="17" spans="1:2" ht="16.5" x14ac:dyDescent="0.25">
      <c r="A17" s="13" t="s">
        <v>18</v>
      </c>
      <c r="B17" s="4">
        <f>B3*MESCLUN_FERTILIZER_PER_BED</f>
        <v>26400</v>
      </c>
    </row>
    <row r="18" spans="1:2" ht="16.5" x14ac:dyDescent="0.25">
      <c r="A18" s="13" t="s">
        <v>19</v>
      </c>
      <c r="B18" s="4">
        <f>SUM(B15:B17)</f>
        <v>44000</v>
      </c>
    </row>
    <row r="19" spans="1:2" ht="16.5" x14ac:dyDescent="0.25">
      <c r="A19" s="12"/>
      <c r="B19" s="4"/>
    </row>
    <row r="20" spans="1:2" ht="30" x14ac:dyDescent="0.25">
      <c r="A20" s="13" t="s">
        <v>66</v>
      </c>
      <c r="B20" s="4">
        <f>MIN(B8,FARMER_HOURS)*FARMER_RATE</f>
        <v>24998.399999999998</v>
      </c>
    </row>
    <row r="21" spans="1:2" ht="30" x14ac:dyDescent="0.25">
      <c r="A21" s="13" t="s">
        <v>67</v>
      </c>
      <c r="B21" s="4">
        <f>MAX(0,B8-FARMER_HOURS)*TEMP_WORKER_RATE</f>
        <v>79106.444612257867</v>
      </c>
    </row>
    <row r="22" spans="1:2" ht="16.5" x14ac:dyDescent="0.25">
      <c r="A22" s="13" t="s">
        <v>68</v>
      </c>
      <c r="B22" s="4">
        <f>B20+B21</f>
        <v>104104.84461225786</v>
      </c>
    </row>
    <row r="23" spans="1:2" x14ac:dyDescent="0.25">
      <c r="A23" s="12"/>
    </row>
    <row r="24" spans="1:2" x14ac:dyDescent="0.25">
      <c r="A24" s="13" t="s">
        <v>20</v>
      </c>
      <c r="B24">
        <f>B13-B18-B22-20000</f>
        <v>42775.155387742139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EF08-01A6-42B5-90EB-713B2D0FF134}">
  <dimension ref="A1:B7"/>
  <sheetViews>
    <sheetView workbookViewId="0">
      <selection activeCell="B2" sqref="B2"/>
    </sheetView>
  </sheetViews>
  <sheetFormatPr defaultRowHeight="15" x14ac:dyDescent="0.25"/>
  <cols>
    <col min="1" max="1" width="14.28515625" customWidth="1"/>
    <col min="2" max="2" width="15.85546875" customWidth="1"/>
  </cols>
  <sheetData>
    <row r="1" spans="1:2" x14ac:dyDescent="0.25">
      <c r="A1" s="13" t="s">
        <v>2</v>
      </c>
      <c r="B1">
        <v>10</v>
      </c>
    </row>
    <row r="2" spans="1:2" x14ac:dyDescent="0.25">
      <c r="A2" s="12" t="s">
        <v>3</v>
      </c>
      <c r="B2">
        <v>20</v>
      </c>
    </row>
    <row r="3" spans="1:2" x14ac:dyDescent="0.25">
      <c r="A3" s="12" t="s">
        <v>4</v>
      </c>
      <c r="B3">
        <v>30</v>
      </c>
    </row>
    <row r="4" spans="1:2" x14ac:dyDescent="0.25">
      <c r="A4" s="12"/>
    </row>
    <row r="5" spans="1:2" ht="16.5" x14ac:dyDescent="0.25">
      <c r="A5" s="12" t="s">
        <v>21</v>
      </c>
      <c r="B5" s="4">
        <f>SUM(B1:B3)</f>
        <v>60</v>
      </c>
    </row>
    <row r="6" spans="1:2" ht="16.5" x14ac:dyDescent="0.25">
      <c r="A6" s="12" t="s">
        <v>11</v>
      </c>
      <c r="B6" s="4">
        <f>Calculations!B8</f>
        <v>5276.8228463282185</v>
      </c>
    </row>
    <row r="7" spans="1:2" ht="16.5" x14ac:dyDescent="0.25">
      <c r="A7" s="13" t="s">
        <v>20</v>
      </c>
      <c r="B7" s="4">
        <f>Calculations!B24</f>
        <v>42775.155387742139</v>
      </c>
    </row>
  </sheetData>
  <scenarios current="0">
    <scenario name="Scenario 2" count="3" user="Sebastian Kim" comment="Created by Sebastian Kim on 10/9/2026">
      <inputCells r="B1" val="10"/>
      <inputCells r="B2" val="20"/>
      <inputCells r="B3" val="30"/>
    </scenario>
  </scenario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E619-8C1A-4944-B8AD-22830FD50E6A}">
  <dimension ref="A1:B29"/>
  <sheetViews>
    <sheetView topLeftCell="A12" workbookViewId="0">
      <selection activeCell="B28" sqref="B28"/>
    </sheetView>
  </sheetViews>
  <sheetFormatPr defaultRowHeight="15" x14ac:dyDescent="0.25"/>
  <cols>
    <col min="1" max="1" width="21" customWidth="1"/>
  </cols>
  <sheetData>
    <row r="1" spans="1:2" ht="30" x14ac:dyDescent="0.25">
      <c r="A1" s="13" t="s">
        <v>22</v>
      </c>
    </row>
    <row r="2" spans="1:2" x14ac:dyDescent="0.25">
      <c r="A2" s="12" t="s">
        <v>23</v>
      </c>
      <c r="B2">
        <v>99</v>
      </c>
    </row>
    <row r="3" spans="1:2" ht="16.5" x14ac:dyDescent="0.25">
      <c r="A3" s="12" t="s">
        <v>24</v>
      </c>
      <c r="B3" s="4">
        <f>1*2.5*36*1.1</f>
        <v>99.000000000000014</v>
      </c>
    </row>
    <row r="4" spans="1:2" ht="16.5" x14ac:dyDescent="0.25">
      <c r="A4" s="12" t="s">
        <v>25</v>
      </c>
      <c r="B4" s="4" t="str">
        <f>IF(B2=B3,"PASS","FAIL")</f>
        <v>PASS</v>
      </c>
    </row>
    <row r="5" spans="1:2" x14ac:dyDescent="0.25">
      <c r="A5" s="12"/>
    </row>
    <row r="6" spans="1:2" ht="30" x14ac:dyDescent="0.25">
      <c r="A6" s="13" t="s">
        <v>26</v>
      </c>
      <c r="B6">
        <v>10</v>
      </c>
    </row>
    <row r="7" spans="1:2" ht="30" x14ac:dyDescent="0.25">
      <c r="A7" s="13" t="s">
        <v>111</v>
      </c>
      <c r="B7">
        <f>Optimization!B1</f>
        <v>10</v>
      </c>
    </row>
    <row r="8" spans="1:2" ht="16.5" x14ac:dyDescent="0.25">
      <c r="A8" s="12" t="s">
        <v>112</v>
      </c>
      <c r="B8" s="4" t="str">
        <f>IF(B6=B7,"PASS","FAIL")</f>
        <v>PASS</v>
      </c>
    </row>
    <row r="9" spans="1:2" x14ac:dyDescent="0.25">
      <c r="A9" s="12"/>
    </row>
    <row r="10" spans="1:2" ht="30" x14ac:dyDescent="0.25">
      <c r="A10" s="13" t="s">
        <v>27</v>
      </c>
      <c r="B10">
        <v>20</v>
      </c>
    </row>
    <row r="11" spans="1:2" x14ac:dyDescent="0.25">
      <c r="A11" s="13" t="s">
        <v>113</v>
      </c>
      <c r="B11">
        <f>Optimization!B2</f>
        <v>20</v>
      </c>
    </row>
    <row r="12" spans="1:2" ht="16.5" x14ac:dyDescent="0.25">
      <c r="A12" s="13" t="s">
        <v>114</v>
      </c>
      <c r="B12" s="4" t="str">
        <f>IF(B10=B11,"PASS","FAIL")</f>
        <v>PASS</v>
      </c>
    </row>
    <row r="13" spans="1:2" x14ac:dyDescent="0.25">
      <c r="A13" s="12"/>
    </row>
    <row r="14" spans="1:2" ht="30" x14ac:dyDescent="0.25">
      <c r="A14" s="13" t="s">
        <v>28</v>
      </c>
      <c r="B14">
        <v>30</v>
      </c>
    </row>
    <row r="15" spans="1:2" ht="30" x14ac:dyDescent="0.25">
      <c r="A15" s="13" t="s">
        <v>115</v>
      </c>
      <c r="B15" s="4">
        <f>Optimization!B3</f>
        <v>30</v>
      </c>
    </row>
    <row r="16" spans="1:2" ht="30" x14ac:dyDescent="0.25">
      <c r="A16" s="13" t="s">
        <v>116</v>
      </c>
      <c r="B16" s="4" t="str">
        <f>IF(B14=B15,"PASS","FAIL")</f>
        <v>PASS</v>
      </c>
    </row>
    <row r="17" spans="1:2" x14ac:dyDescent="0.25">
      <c r="A17" s="12"/>
    </row>
    <row r="18" spans="1:2" ht="30" x14ac:dyDescent="0.25">
      <c r="A18" s="13" t="s">
        <v>117</v>
      </c>
      <c r="B18">
        <v>42762</v>
      </c>
    </row>
    <row r="19" spans="1:2" ht="16.5" x14ac:dyDescent="0.25">
      <c r="A19" s="13" t="s">
        <v>118</v>
      </c>
      <c r="B19" s="4">
        <f>Optimization!B7</f>
        <v>42775.155387742139</v>
      </c>
    </row>
    <row r="20" spans="1:2" x14ac:dyDescent="0.25">
      <c r="A20" s="13" t="s">
        <v>119</v>
      </c>
      <c r="B20">
        <v>20</v>
      </c>
    </row>
    <row r="21" spans="1:2" ht="30" x14ac:dyDescent="0.25">
      <c r="A21" s="13" t="s">
        <v>120</v>
      </c>
      <c r="B21" t="str">
        <f>IF(ABS(B19-B18)&lt;=B20,"PASS","FAIL")</f>
        <v>PASS</v>
      </c>
    </row>
    <row r="23" spans="1:2" ht="30" x14ac:dyDescent="0.25">
      <c r="A23" s="13" t="s">
        <v>129</v>
      </c>
      <c r="B23">
        <v>64</v>
      </c>
    </row>
    <row r="24" spans="1:2" x14ac:dyDescent="0.25">
      <c r="A24" s="13" t="s">
        <v>130</v>
      </c>
      <c r="B24">
        <f>Optimization!B5</f>
        <v>60</v>
      </c>
    </row>
    <row r="25" spans="1:2" x14ac:dyDescent="0.25">
      <c r="A25" s="13" t="s">
        <v>131</v>
      </c>
      <c r="B25" t="str">
        <f>IF(B24&lt;=B23,"PASS","FAIL")</f>
        <v>PASS</v>
      </c>
    </row>
    <row r="27" spans="1:2" x14ac:dyDescent="0.25">
      <c r="A27" s="13" t="s">
        <v>132</v>
      </c>
      <c r="B27">
        <v>6480</v>
      </c>
    </row>
    <row r="28" spans="1:2" x14ac:dyDescent="0.25">
      <c r="A28" s="13" t="s">
        <v>133</v>
      </c>
      <c r="B28">
        <f>Optimization!B6</f>
        <v>5276.8228463282185</v>
      </c>
    </row>
    <row r="29" spans="1:2" x14ac:dyDescent="0.25">
      <c r="A29" s="13" t="s">
        <v>134</v>
      </c>
      <c r="B29" t="str">
        <f>IF(B28&lt;=B27,"PASS","FAIL")</f>
        <v>PASS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FFDD0-05F1-4EBB-B64D-C908F45E7FD0}">
  <dimension ref="A1:G33"/>
  <sheetViews>
    <sheetView showGridLines="0" workbookViewId="0">
      <selection activeCell="E21" sqref="E21"/>
    </sheetView>
  </sheetViews>
  <sheetFormatPr defaultRowHeight="15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1.140625" bestFit="1" customWidth="1"/>
    <col min="6" max="6" width="11.28515625" bestFit="1" customWidth="1"/>
    <col min="7" max="7" width="5.7109375" bestFit="1" customWidth="1"/>
  </cols>
  <sheetData>
    <row r="1" spans="1:5" x14ac:dyDescent="0.25">
      <c r="A1" s="5" t="s">
        <v>29</v>
      </c>
    </row>
    <row r="2" spans="1:5" x14ac:dyDescent="0.25">
      <c r="A2" s="5" t="s">
        <v>30</v>
      </c>
    </row>
    <row r="3" spans="1:5" x14ac:dyDescent="0.25">
      <c r="A3" s="5" t="s">
        <v>31</v>
      </c>
    </row>
    <row r="4" spans="1:5" x14ac:dyDescent="0.25">
      <c r="A4" s="5" t="s">
        <v>32</v>
      </c>
    </row>
    <row r="5" spans="1:5" x14ac:dyDescent="0.25">
      <c r="A5" s="5" t="s">
        <v>33</v>
      </c>
    </row>
    <row r="6" spans="1:5" x14ac:dyDescent="0.25">
      <c r="A6" s="5"/>
      <c r="B6" t="s">
        <v>34</v>
      </c>
    </row>
    <row r="7" spans="1:5" x14ac:dyDescent="0.25">
      <c r="A7" s="5"/>
      <c r="B7" t="s">
        <v>35</v>
      </c>
    </row>
    <row r="8" spans="1:5" x14ac:dyDescent="0.25">
      <c r="A8" s="5"/>
      <c r="B8" t="s">
        <v>36</v>
      </c>
    </row>
    <row r="9" spans="1:5" x14ac:dyDescent="0.25">
      <c r="A9" s="5" t="s">
        <v>37</v>
      </c>
    </row>
    <row r="10" spans="1:5" x14ac:dyDescent="0.25">
      <c r="B10" t="s">
        <v>38</v>
      </c>
    </row>
    <row r="11" spans="1:5" x14ac:dyDescent="0.25">
      <c r="B11" t="s">
        <v>39</v>
      </c>
    </row>
    <row r="12" spans="1:5" x14ac:dyDescent="0.25">
      <c r="B12" t="s">
        <v>40</v>
      </c>
    </row>
    <row r="14" spans="1:5" ht="15.75" thickBot="1" x14ac:dyDescent="0.3">
      <c r="A14" t="s">
        <v>41</v>
      </c>
    </row>
    <row r="15" spans="1:5" ht="15.75" thickBot="1" x14ac:dyDescent="0.3">
      <c r="B15" s="7" t="s">
        <v>42</v>
      </c>
      <c r="C15" s="7" t="s">
        <v>43</v>
      </c>
      <c r="D15" s="7" t="s">
        <v>44</v>
      </c>
      <c r="E15" s="7" t="s">
        <v>45</v>
      </c>
    </row>
    <row r="16" spans="1:5" ht="15.75" thickBot="1" x14ac:dyDescent="0.3">
      <c r="B16" s="6" t="s">
        <v>53</v>
      </c>
      <c r="C16" s="6" t="s">
        <v>20</v>
      </c>
      <c r="D16" s="6">
        <v>-20000</v>
      </c>
      <c r="E16" s="6">
        <v>-20000</v>
      </c>
    </row>
    <row r="19" spans="1:7" ht="15.75" thickBot="1" x14ac:dyDescent="0.3">
      <c r="A19" t="s">
        <v>46</v>
      </c>
    </row>
    <row r="20" spans="1:7" ht="15.75" thickBot="1" x14ac:dyDescent="0.3">
      <c r="B20" s="7" t="s">
        <v>42</v>
      </c>
      <c r="C20" s="7" t="s">
        <v>43</v>
      </c>
      <c r="D20" s="7" t="s">
        <v>44</v>
      </c>
      <c r="E20" s="7" t="s">
        <v>45</v>
      </c>
      <c r="F20" s="7" t="s">
        <v>47</v>
      </c>
    </row>
    <row r="21" spans="1:7" x14ac:dyDescent="0.25">
      <c r="B21" s="8" t="s">
        <v>54</v>
      </c>
      <c r="C21" s="8" t="s">
        <v>2</v>
      </c>
      <c r="D21" s="8">
        <v>0</v>
      </c>
      <c r="E21" s="8">
        <v>0</v>
      </c>
      <c r="F21" s="8" t="s">
        <v>47</v>
      </c>
    </row>
    <row r="22" spans="1:7" x14ac:dyDescent="0.25">
      <c r="B22" s="8" t="s">
        <v>55</v>
      </c>
      <c r="C22" s="8" t="s">
        <v>3</v>
      </c>
      <c r="D22" s="8">
        <v>0</v>
      </c>
      <c r="E22" s="8">
        <v>0</v>
      </c>
      <c r="F22" s="8" t="s">
        <v>47</v>
      </c>
    </row>
    <row r="23" spans="1:7" ht="15.75" thickBot="1" x14ac:dyDescent="0.3">
      <c r="B23" s="6" t="s">
        <v>56</v>
      </c>
      <c r="C23" s="6" t="s">
        <v>4</v>
      </c>
      <c r="D23" s="6">
        <v>0</v>
      </c>
      <c r="E23" s="6">
        <v>0</v>
      </c>
      <c r="F23" s="6" t="s">
        <v>47</v>
      </c>
    </row>
    <row r="26" spans="1:7" ht="15.75" thickBot="1" x14ac:dyDescent="0.3">
      <c r="A26" t="s">
        <v>48</v>
      </c>
    </row>
    <row r="27" spans="1:7" ht="15.75" thickBot="1" x14ac:dyDescent="0.3">
      <c r="B27" s="7" t="s">
        <v>42</v>
      </c>
      <c r="C27" s="7" t="s">
        <v>43</v>
      </c>
      <c r="D27" s="7" t="s">
        <v>49</v>
      </c>
      <c r="E27" s="7" t="s">
        <v>50</v>
      </c>
      <c r="F27" s="7" t="s">
        <v>51</v>
      </c>
      <c r="G27" s="7" t="s">
        <v>52</v>
      </c>
    </row>
    <row r="28" spans="1:7" x14ac:dyDescent="0.25">
      <c r="B28" s="8" t="s">
        <v>57</v>
      </c>
      <c r="C28" s="8" t="s">
        <v>21</v>
      </c>
      <c r="D28" s="8">
        <v>0</v>
      </c>
      <c r="E28" s="8" t="s">
        <v>58</v>
      </c>
      <c r="F28" s="8" t="s">
        <v>59</v>
      </c>
      <c r="G28" s="8">
        <v>64</v>
      </c>
    </row>
    <row r="29" spans="1:7" x14ac:dyDescent="0.25">
      <c r="B29" s="8" t="s">
        <v>60</v>
      </c>
      <c r="C29" s="8" t="s">
        <v>11</v>
      </c>
      <c r="D29" s="8">
        <v>0</v>
      </c>
      <c r="E29" s="8" t="s">
        <v>61</v>
      </c>
      <c r="F29" s="8" t="s">
        <v>59</v>
      </c>
      <c r="G29" s="8">
        <v>6480</v>
      </c>
    </row>
    <row r="30" spans="1:7" x14ac:dyDescent="0.25">
      <c r="B30" s="8" t="s">
        <v>54</v>
      </c>
      <c r="C30" s="8" t="s">
        <v>2</v>
      </c>
      <c r="D30" s="8">
        <v>0</v>
      </c>
      <c r="E30" s="8" t="s">
        <v>62</v>
      </c>
      <c r="F30" s="8" t="s">
        <v>59</v>
      </c>
      <c r="G30" s="8">
        <v>20</v>
      </c>
    </row>
    <row r="31" spans="1:7" x14ac:dyDescent="0.25">
      <c r="B31" s="8" t="s">
        <v>55</v>
      </c>
      <c r="C31" s="8" t="s">
        <v>3</v>
      </c>
      <c r="D31" s="8">
        <v>0</v>
      </c>
      <c r="E31" s="8" t="s">
        <v>63</v>
      </c>
      <c r="F31" s="8" t="s">
        <v>59</v>
      </c>
      <c r="G31" s="8">
        <v>20</v>
      </c>
    </row>
    <row r="32" spans="1:7" x14ac:dyDescent="0.25">
      <c r="B32" s="8" t="s">
        <v>56</v>
      </c>
      <c r="C32" s="8" t="s">
        <v>4</v>
      </c>
      <c r="D32" s="8">
        <v>0</v>
      </c>
      <c r="E32" s="8" t="s">
        <v>64</v>
      </c>
      <c r="F32" s="8" t="s">
        <v>59</v>
      </c>
      <c r="G32" s="8">
        <v>30</v>
      </c>
    </row>
    <row r="33" spans="2:7" ht="15.75" thickBot="1" x14ac:dyDescent="0.3">
      <c r="B33" s="6" t="s">
        <v>65</v>
      </c>
      <c r="C33" s="6"/>
      <c r="D33" s="6"/>
      <c r="E33" s="6"/>
      <c r="F33" s="6"/>
      <c r="G33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C6F2E-AF2C-4EC5-9E33-BEA5EC954C4E}">
  <dimension ref="A1:G35"/>
  <sheetViews>
    <sheetView showGridLines="0" workbookViewId="0"/>
  </sheetViews>
  <sheetFormatPr defaultRowHeight="15" outlineLevelRow="1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2" bestFit="1" customWidth="1"/>
    <col min="6" max="6" width="11.28515625" bestFit="1" customWidth="1"/>
    <col min="7" max="7" width="12" bestFit="1" customWidth="1"/>
  </cols>
  <sheetData>
    <row r="1" spans="1:5" x14ac:dyDescent="0.25">
      <c r="A1" s="5" t="s">
        <v>29</v>
      </c>
    </row>
    <row r="2" spans="1:5" x14ac:dyDescent="0.25">
      <c r="A2" s="5" t="s">
        <v>30</v>
      </c>
    </row>
    <row r="3" spans="1:5" x14ac:dyDescent="0.25">
      <c r="A3" s="5" t="s">
        <v>72</v>
      </c>
    </row>
    <row r="4" spans="1:5" x14ac:dyDescent="0.25">
      <c r="A4" s="5" t="s">
        <v>32</v>
      </c>
    </row>
    <row r="5" spans="1:5" x14ac:dyDescent="0.25">
      <c r="A5" s="5" t="s">
        <v>33</v>
      </c>
    </row>
    <row r="6" spans="1:5" hidden="1" outlineLevel="1" x14ac:dyDescent="0.25">
      <c r="A6" s="5"/>
      <c r="B6" t="s">
        <v>34</v>
      </c>
    </row>
    <row r="7" spans="1:5" hidden="1" outlineLevel="1" x14ac:dyDescent="0.25">
      <c r="A7" s="5"/>
      <c r="B7" t="s">
        <v>73</v>
      </c>
    </row>
    <row r="8" spans="1:5" hidden="1" outlineLevel="1" x14ac:dyDescent="0.25">
      <c r="A8" s="5"/>
      <c r="B8" t="s">
        <v>69</v>
      </c>
    </row>
    <row r="9" spans="1:5" collapsed="1" x14ac:dyDescent="0.25">
      <c r="A9" s="5" t="s">
        <v>37</v>
      </c>
    </row>
    <row r="10" spans="1:5" hidden="1" outlineLevel="1" x14ac:dyDescent="0.25">
      <c r="B10" t="s">
        <v>38</v>
      </c>
    </row>
    <row r="11" spans="1:5" hidden="1" outlineLevel="1" x14ac:dyDescent="0.25">
      <c r="B11" t="s">
        <v>39</v>
      </c>
    </row>
    <row r="12" spans="1:5" hidden="1" outlineLevel="1" x14ac:dyDescent="0.25">
      <c r="B12" t="s">
        <v>40</v>
      </c>
    </row>
    <row r="13" spans="1:5" collapsed="1" x14ac:dyDescent="0.25"/>
    <row r="14" spans="1:5" ht="15.75" thickBot="1" x14ac:dyDescent="0.3">
      <c r="A14" t="s">
        <v>41</v>
      </c>
    </row>
    <row r="15" spans="1:5" ht="15.75" thickBot="1" x14ac:dyDescent="0.3">
      <c r="B15" s="7" t="s">
        <v>42</v>
      </c>
      <c r="C15" s="7" t="s">
        <v>43</v>
      </c>
      <c r="D15" s="7" t="s">
        <v>44</v>
      </c>
      <c r="E15" s="7" t="s">
        <v>45</v>
      </c>
    </row>
    <row r="16" spans="1:5" ht="15.75" thickBot="1" x14ac:dyDescent="0.3">
      <c r="B16" s="6" t="s">
        <v>53</v>
      </c>
      <c r="C16" s="6" t="s">
        <v>20</v>
      </c>
      <c r="D16" s="6">
        <v>-84320.118416526617</v>
      </c>
      <c r="E16" s="6">
        <v>42775.155387742139</v>
      </c>
    </row>
    <row r="19" spans="1:7" ht="15.75" thickBot="1" x14ac:dyDescent="0.3">
      <c r="A19" t="s">
        <v>46</v>
      </c>
    </row>
    <row r="20" spans="1:7" ht="15.75" thickBot="1" x14ac:dyDescent="0.3">
      <c r="B20" s="7" t="s">
        <v>42</v>
      </c>
      <c r="C20" s="7" t="s">
        <v>43</v>
      </c>
      <c r="D20" s="7" t="s">
        <v>44</v>
      </c>
      <c r="E20" s="7" t="s">
        <v>45</v>
      </c>
      <c r="F20" s="7" t="s">
        <v>47</v>
      </c>
    </row>
    <row r="21" spans="1:7" x14ac:dyDescent="0.25">
      <c r="B21" s="10" t="s">
        <v>71</v>
      </c>
      <c r="C21" s="9"/>
      <c r="D21" s="9"/>
      <c r="E21" s="9"/>
      <c r="F21" s="9"/>
    </row>
    <row r="22" spans="1:7" hidden="1" outlineLevel="1" x14ac:dyDescent="0.25">
      <c r="B22" s="8" t="s">
        <v>54</v>
      </c>
      <c r="C22" s="8" t="s">
        <v>2</v>
      </c>
      <c r="D22" s="8">
        <v>20</v>
      </c>
      <c r="E22" s="8">
        <v>10</v>
      </c>
      <c r="F22" s="8" t="s">
        <v>47</v>
      </c>
    </row>
    <row r="23" spans="1:7" hidden="1" outlineLevel="1" x14ac:dyDescent="0.25">
      <c r="B23" s="8" t="s">
        <v>55</v>
      </c>
      <c r="C23" s="8" t="s">
        <v>3</v>
      </c>
      <c r="D23" s="8">
        <v>0</v>
      </c>
      <c r="E23" s="8">
        <v>20</v>
      </c>
      <c r="F23" s="8" t="s">
        <v>47</v>
      </c>
    </row>
    <row r="24" spans="1:7" ht="15.75" hidden="1" outlineLevel="1" thickBot="1" x14ac:dyDescent="0.3">
      <c r="B24" s="6" t="s">
        <v>56</v>
      </c>
      <c r="C24" s="6" t="s">
        <v>4</v>
      </c>
      <c r="D24" s="6">
        <v>0</v>
      </c>
      <c r="E24" s="6">
        <v>30</v>
      </c>
      <c r="F24" s="6" t="s">
        <v>47</v>
      </c>
    </row>
    <row r="25" spans="1:7" collapsed="1" x14ac:dyDescent="0.25"/>
    <row r="28" spans="1:7" ht="15.75" thickBot="1" x14ac:dyDescent="0.3">
      <c r="A28" t="s">
        <v>48</v>
      </c>
    </row>
    <row r="29" spans="1:7" ht="15.75" thickBot="1" x14ac:dyDescent="0.3">
      <c r="B29" s="7" t="s">
        <v>42</v>
      </c>
      <c r="C29" s="7" t="s">
        <v>43</v>
      </c>
      <c r="D29" s="7" t="s">
        <v>49</v>
      </c>
      <c r="E29" s="7" t="s">
        <v>50</v>
      </c>
      <c r="F29" s="7" t="s">
        <v>51</v>
      </c>
      <c r="G29" s="7" t="s">
        <v>52</v>
      </c>
    </row>
    <row r="30" spans="1:7" x14ac:dyDescent="0.25">
      <c r="B30" s="8" t="s">
        <v>57</v>
      </c>
      <c r="C30" s="8" t="s">
        <v>21</v>
      </c>
      <c r="D30" s="8">
        <v>60</v>
      </c>
      <c r="E30" s="8" t="s">
        <v>58</v>
      </c>
      <c r="F30" s="8" t="s">
        <v>59</v>
      </c>
      <c r="G30" s="8">
        <v>3.9999999999999929</v>
      </c>
    </row>
    <row r="31" spans="1:7" x14ac:dyDescent="0.25">
      <c r="B31" s="8" t="s">
        <v>60</v>
      </c>
      <c r="C31" s="8" t="s">
        <v>11</v>
      </c>
      <c r="D31" s="8">
        <v>5276.8228463282185</v>
      </c>
      <c r="E31" s="8" t="s">
        <v>61</v>
      </c>
      <c r="F31" s="8" t="s">
        <v>59</v>
      </c>
      <c r="G31" s="8">
        <v>1203.1771536717815</v>
      </c>
    </row>
    <row r="32" spans="1:7" x14ac:dyDescent="0.25">
      <c r="B32" s="8" t="s">
        <v>54</v>
      </c>
      <c r="C32" s="8" t="s">
        <v>2</v>
      </c>
      <c r="D32" s="8">
        <v>10</v>
      </c>
      <c r="E32" s="8" t="s">
        <v>62</v>
      </c>
      <c r="F32" s="8" t="s">
        <v>70</v>
      </c>
      <c r="G32" s="8">
        <v>0</v>
      </c>
    </row>
    <row r="33" spans="2:7" x14ac:dyDescent="0.25">
      <c r="B33" s="8" t="s">
        <v>55</v>
      </c>
      <c r="C33" s="8" t="s">
        <v>3</v>
      </c>
      <c r="D33" s="8">
        <v>20</v>
      </c>
      <c r="E33" s="8" t="s">
        <v>63</v>
      </c>
      <c r="F33" s="8" t="s">
        <v>70</v>
      </c>
      <c r="G33" s="8">
        <v>0</v>
      </c>
    </row>
    <row r="34" spans="2:7" x14ac:dyDescent="0.25">
      <c r="B34" s="8" t="s">
        <v>56</v>
      </c>
      <c r="C34" s="8" t="s">
        <v>4</v>
      </c>
      <c r="D34" s="8">
        <v>30</v>
      </c>
      <c r="E34" s="8" t="s">
        <v>64</v>
      </c>
      <c r="F34" s="8" t="s">
        <v>70</v>
      </c>
      <c r="G34" s="8">
        <v>0</v>
      </c>
    </row>
    <row r="35" spans="2:7" ht="15.75" thickBot="1" x14ac:dyDescent="0.3">
      <c r="B35" s="6" t="s">
        <v>65</v>
      </c>
      <c r="C35" s="6"/>
      <c r="D35" s="6"/>
      <c r="E35" s="6"/>
      <c r="F35" s="6"/>
      <c r="G35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5E638-4550-4578-AD93-BBAFED961797}">
  <dimension ref="A1:G33"/>
  <sheetViews>
    <sheetView showGridLines="0" topLeftCell="A6" workbookViewId="0"/>
  </sheetViews>
  <sheetFormatPr defaultRowHeight="15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2" bestFit="1" customWidth="1"/>
    <col min="6" max="6" width="11.28515625" bestFit="1" customWidth="1"/>
    <col min="7" max="7" width="12" bestFit="1" customWidth="1"/>
  </cols>
  <sheetData>
    <row r="1" spans="1:5" x14ac:dyDescent="0.25">
      <c r="A1" s="5" t="s">
        <v>29</v>
      </c>
    </row>
    <row r="2" spans="1:5" x14ac:dyDescent="0.25">
      <c r="A2" s="5" t="s">
        <v>30</v>
      </c>
    </row>
    <row r="3" spans="1:5" x14ac:dyDescent="0.25">
      <c r="A3" s="5" t="s">
        <v>121</v>
      </c>
    </row>
    <row r="4" spans="1:5" x14ac:dyDescent="0.25">
      <c r="A4" s="5" t="s">
        <v>32</v>
      </c>
    </row>
    <row r="5" spans="1:5" x14ac:dyDescent="0.25">
      <c r="A5" s="5" t="s">
        <v>33</v>
      </c>
    </row>
    <row r="6" spans="1:5" x14ac:dyDescent="0.25">
      <c r="A6" s="5"/>
      <c r="B6" t="s">
        <v>34</v>
      </c>
    </row>
    <row r="7" spans="1:5" x14ac:dyDescent="0.25">
      <c r="A7" s="5"/>
      <c r="B7" t="s">
        <v>122</v>
      </c>
    </row>
    <row r="8" spans="1:5" x14ac:dyDescent="0.25">
      <c r="A8" s="5"/>
      <c r="B8" t="s">
        <v>69</v>
      </c>
    </row>
    <row r="9" spans="1:5" x14ac:dyDescent="0.25">
      <c r="A9" s="5" t="s">
        <v>37</v>
      </c>
    </row>
    <row r="10" spans="1:5" x14ac:dyDescent="0.25">
      <c r="B10" t="s">
        <v>38</v>
      </c>
    </row>
    <row r="11" spans="1:5" x14ac:dyDescent="0.25">
      <c r="B11" t="s">
        <v>39</v>
      </c>
    </row>
    <row r="12" spans="1:5" x14ac:dyDescent="0.25">
      <c r="B12" t="s">
        <v>40</v>
      </c>
    </row>
    <row r="14" spans="1:5" ht="15.75" thickBot="1" x14ac:dyDescent="0.3">
      <c r="A14" t="s">
        <v>41</v>
      </c>
    </row>
    <row r="15" spans="1:5" ht="15.75" thickBot="1" x14ac:dyDescent="0.3">
      <c r="B15" s="7" t="s">
        <v>42</v>
      </c>
      <c r="C15" s="7" t="s">
        <v>43</v>
      </c>
      <c r="D15" s="7" t="s">
        <v>44</v>
      </c>
      <c r="E15" s="7" t="s">
        <v>45</v>
      </c>
    </row>
    <row r="16" spans="1:5" ht="15.75" thickBot="1" x14ac:dyDescent="0.3">
      <c r="B16" s="6" t="s">
        <v>53</v>
      </c>
      <c r="C16" s="6" t="s">
        <v>20</v>
      </c>
      <c r="D16" s="6">
        <v>38227.058405064556</v>
      </c>
      <c r="E16" s="6">
        <v>42775.155387742139</v>
      </c>
    </row>
    <row r="19" spans="1:7" ht="15.75" thickBot="1" x14ac:dyDescent="0.3">
      <c r="A19" t="s">
        <v>46</v>
      </c>
    </row>
    <row r="20" spans="1:7" ht="15.75" thickBot="1" x14ac:dyDescent="0.3">
      <c r="B20" s="7" t="s">
        <v>42</v>
      </c>
      <c r="C20" s="7" t="s">
        <v>43</v>
      </c>
      <c r="D20" s="7" t="s">
        <v>44</v>
      </c>
      <c r="E20" s="7" t="s">
        <v>45</v>
      </c>
      <c r="F20" s="7" t="s">
        <v>47</v>
      </c>
    </row>
    <row r="21" spans="1:7" x14ac:dyDescent="0.25">
      <c r="B21" s="8" t="s">
        <v>54</v>
      </c>
      <c r="C21" s="8" t="s">
        <v>2</v>
      </c>
      <c r="D21" s="8">
        <v>7</v>
      </c>
      <c r="E21" s="8">
        <v>10</v>
      </c>
      <c r="F21" s="8" t="s">
        <v>47</v>
      </c>
    </row>
    <row r="22" spans="1:7" x14ac:dyDescent="0.25">
      <c r="B22" s="8" t="s">
        <v>55</v>
      </c>
      <c r="C22" s="8" t="s">
        <v>3</v>
      </c>
      <c r="D22" s="8">
        <v>20</v>
      </c>
      <c r="E22" s="8">
        <v>20</v>
      </c>
      <c r="F22" s="8" t="s">
        <v>47</v>
      </c>
    </row>
    <row r="23" spans="1:7" ht="15.75" thickBot="1" x14ac:dyDescent="0.3">
      <c r="B23" s="6" t="s">
        <v>56</v>
      </c>
      <c r="C23" s="6" t="s">
        <v>4</v>
      </c>
      <c r="D23" s="6">
        <v>30</v>
      </c>
      <c r="E23" s="6">
        <v>30</v>
      </c>
      <c r="F23" s="6" t="s">
        <v>47</v>
      </c>
    </row>
    <row r="26" spans="1:7" ht="15.75" thickBot="1" x14ac:dyDescent="0.3">
      <c r="A26" t="s">
        <v>48</v>
      </c>
    </row>
    <row r="27" spans="1:7" ht="15.75" thickBot="1" x14ac:dyDescent="0.3">
      <c r="B27" s="7" t="s">
        <v>42</v>
      </c>
      <c r="C27" s="7" t="s">
        <v>43</v>
      </c>
      <c r="D27" s="7" t="s">
        <v>49</v>
      </c>
      <c r="E27" s="7" t="s">
        <v>50</v>
      </c>
      <c r="F27" s="7" t="s">
        <v>51</v>
      </c>
      <c r="G27" s="7" t="s">
        <v>52</v>
      </c>
    </row>
    <row r="28" spans="1:7" x14ac:dyDescent="0.25">
      <c r="B28" s="8" t="s">
        <v>57</v>
      </c>
      <c r="C28" s="8" t="s">
        <v>21</v>
      </c>
      <c r="D28" s="8">
        <v>60</v>
      </c>
      <c r="E28" s="8" t="s">
        <v>58</v>
      </c>
      <c r="F28" s="8" t="s">
        <v>59</v>
      </c>
      <c r="G28" s="8">
        <v>4</v>
      </c>
    </row>
    <row r="29" spans="1:7" x14ac:dyDescent="0.25">
      <c r="B29" s="8" t="s">
        <v>60</v>
      </c>
      <c r="C29" s="8" t="s">
        <v>11</v>
      </c>
      <c r="D29" s="8">
        <v>5276.8228463282185</v>
      </c>
      <c r="E29" s="8" t="s">
        <v>61</v>
      </c>
      <c r="F29" s="8" t="s">
        <v>59</v>
      </c>
      <c r="G29" s="8">
        <v>1203.1771536717815</v>
      </c>
    </row>
    <row r="30" spans="1:7" x14ac:dyDescent="0.25">
      <c r="B30" s="8" t="s">
        <v>54</v>
      </c>
      <c r="C30" s="8" t="s">
        <v>2</v>
      </c>
      <c r="D30" s="8">
        <v>10</v>
      </c>
      <c r="E30" s="8" t="s">
        <v>62</v>
      </c>
      <c r="F30" s="8" t="s">
        <v>70</v>
      </c>
      <c r="G30" s="8">
        <v>0</v>
      </c>
    </row>
    <row r="31" spans="1:7" x14ac:dyDescent="0.25">
      <c r="B31" s="8" t="s">
        <v>55</v>
      </c>
      <c r="C31" s="8" t="s">
        <v>3</v>
      </c>
      <c r="D31" s="8">
        <v>20</v>
      </c>
      <c r="E31" s="8" t="s">
        <v>63</v>
      </c>
      <c r="F31" s="8" t="s">
        <v>70</v>
      </c>
      <c r="G31" s="8">
        <v>0</v>
      </c>
    </row>
    <row r="32" spans="1:7" x14ac:dyDescent="0.25">
      <c r="B32" s="8" t="s">
        <v>56</v>
      </c>
      <c r="C32" s="8" t="s">
        <v>4</v>
      </c>
      <c r="D32" s="8">
        <v>30</v>
      </c>
      <c r="E32" s="8" t="s">
        <v>64</v>
      </c>
      <c r="F32" s="8" t="s">
        <v>70</v>
      </c>
      <c r="G32" s="8">
        <v>0</v>
      </c>
    </row>
    <row r="33" spans="2:7" ht="15.75" thickBot="1" x14ac:dyDescent="0.3">
      <c r="B33" s="6" t="s">
        <v>65</v>
      </c>
      <c r="C33" s="6"/>
      <c r="D33" s="6"/>
      <c r="E33" s="6"/>
      <c r="F33" s="6"/>
      <c r="G33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619FE-79F3-4F8F-A3C4-E7E7F8031B48}">
  <dimension ref="A1:C78"/>
  <sheetViews>
    <sheetView topLeftCell="A46" workbookViewId="0">
      <selection activeCell="D49" sqref="D49"/>
    </sheetView>
  </sheetViews>
  <sheetFormatPr defaultRowHeight="15" x14ac:dyDescent="0.25"/>
  <cols>
    <col min="1" max="1" width="34.28515625" customWidth="1"/>
    <col min="2" max="2" width="11.140625" customWidth="1"/>
    <col min="3" max="3" width="14.140625" customWidth="1"/>
  </cols>
  <sheetData>
    <row r="1" spans="1:3" ht="30" x14ac:dyDescent="0.25">
      <c r="A1" s="14" t="s">
        <v>123</v>
      </c>
    </row>
    <row r="2" spans="1:3" x14ac:dyDescent="0.25">
      <c r="A2" s="5" t="s">
        <v>79</v>
      </c>
      <c r="B2" s="11" t="s">
        <v>124</v>
      </c>
      <c r="C2" s="11" t="s">
        <v>125</v>
      </c>
    </row>
    <row r="3" spans="1:3" x14ac:dyDescent="0.25">
      <c r="A3">
        <v>1</v>
      </c>
      <c r="B3">
        <f>(A3*TOMATO_HRS_PER_BED*WEEKS*(1+TOMATO_DIM_PCT)^A3)*FARMER_RATE</f>
        <v>3437.28</v>
      </c>
      <c r="C3" t="s">
        <v>126</v>
      </c>
    </row>
    <row r="4" spans="1:3" ht="16.5" x14ac:dyDescent="0.25">
      <c r="A4">
        <v>2</v>
      </c>
      <c r="B4">
        <f>(A4*TOMATO_HRS_PER_BED*WEEKS*(1+TOMATO_DIM_PCT)^A4)*FARMER_RATE</f>
        <v>7562.0160000000014</v>
      </c>
      <c r="C4" s="4">
        <f>B4-B3</f>
        <v>4124.7360000000008</v>
      </c>
    </row>
    <row r="5" spans="1:3" ht="16.5" x14ac:dyDescent="0.25">
      <c r="A5">
        <v>3</v>
      </c>
      <c r="B5">
        <f>(A5*TOMATO_HRS_PER_BED*WEEKS*(1+TOMATO_DIM_PCT)^A5)*FARMER_RATE</f>
        <v>12477.326400000004</v>
      </c>
      <c r="C5" s="4">
        <f t="shared" ref="C5:C22" si="0">B5-B4</f>
        <v>4915.3104000000021</v>
      </c>
    </row>
    <row r="6" spans="1:3" ht="16.5" x14ac:dyDescent="0.25">
      <c r="A6">
        <v>4</v>
      </c>
      <c r="B6">
        <f>(A6*TOMATO_HRS_PER_BED*WEEKS*(1+TOMATO_DIM_PCT)^A6)*FARMER_RATE</f>
        <v>18300.078720000005</v>
      </c>
      <c r="C6" s="4">
        <f t="shared" si="0"/>
        <v>5822.7523200000014</v>
      </c>
    </row>
    <row r="7" spans="1:3" ht="16.5" x14ac:dyDescent="0.25">
      <c r="A7">
        <v>5</v>
      </c>
      <c r="B7">
        <f>(A7*TOMATO_HRS_PER_BED*WEEKS*(1+TOMATO_DIM_PCT)^A7)*FARMER_RATE</f>
        <v>25162.608240000009</v>
      </c>
      <c r="C7" s="4">
        <f t="shared" si="0"/>
        <v>6862.5295200000037</v>
      </c>
    </row>
    <row r="8" spans="1:3" ht="16.5" x14ac:dyDescent="0.25">
      <c r="A8">
        <v>6</v>
      </c>
      <c r="B8">
        <f>(A8*TOMATO_HRS_PER_BED*WEEKS*(1+TOMATO_DIM_PCT)^A8)*FARMER_RATE</f>
        <v>33214.642876800011</v>
      </c>
      <c r="C8" s="4">
        <f t="shared" si="0"/>
        <v>8052.0346368000028</v>
      </c>
    </row>
    <row r="9" spans="1:3" ht="16.5" x14ac:dyDescent="0.25">
      <c r="A9">
        <v>7</v>
      </c>
      <c r="B9">
        <f>(A9*TOMATO_HRS_PER_BED*WEEKS*(1+TOMATO_DIM_PCT)^A9)*FARMER_RATE</f>
        <v>42625.458358560019</v>
      </c>
      <c r="C9" s="4">
        <f t="shared" si="0"/>
        <v>9410.815481760008</v>
      </c>
    </row>
    <row r="10" spans="1:3" ht="16.5" x14ac:dyDescent="0.25">
      <c r="A10">
        <v>8</v>
      </c>
      <c r="B10">
        <f>(A10*TOMATO_HRS_PER_BED*WEEKS*(1+TOMATO_DIM_PCT)^A10)*FARMER_RATE</f>
        <v>53586.290507904028</v>
      </c>
      <c r="C10" s="4">
        <f t="shared" si="0"/>
        <v>10960.832149344009</v>
      </c>
    </row>
    <row r="11" spans="1:3" ht="16.5" x14ac:dyDescent="0.25">
      <c r="A11">
        <v>9</v>
      </c>
      <c r="B11">
        <f>(A11*TOMATO_HRS_PER_BED*WEEKS*(1+TOMATO_DIM_PCT)^A11)*FARMER_RATE</f>
        <v>66313.034503531235</v>
      </c>
      <c r="C11" s="4">
        <f t="shared" si="0"/>
        <v>12726.743995627206</v>
      </c>
    </row>
    <row r="12" spans="1:3" ht="16.5" x14ac:dyDescent="0.25">
      <c r="A12">
        <v>10</v>
      </c>
      <c r="B12">
        <f>(A12*TOMATO_HRS_PER_BED*WEEKS*(1+TOMATO_DIM_PCT)^A12)*FARMER_RATE</f>
        <v>81049.264393204867</v>
      </c>
      <c r="C12" s="4">
        <f t="shared" si="0"/>
        <v>14736.229889673632</v>
      </c>
    </row>
    <row r="13" spans="1:3" ht="16.5" x14ac:dyDescent="0.25">
      <c r="A13">
        <v>11</v>
      </c>
      <c r="B13">
        <f>(A13*TOMATO_HRS_PER_BED*WEEKS*(1+TOMATO_DIM_PCT)^A13)*FARMER_RATE</f>
        <v>98069.609915777881</v>
      </c>
      <c r="C13" s="4">
        <f t="shared" si="0"/>
        <v>17020.345522573014</v>
      </c>
    </row>
    <row r="14" spans="1:3" ht="16.5" x14ac:dyDescent="0.25">
      <c r="A14">
        <v>12</v>
      </c>
      <c r="B14">
        <f>(A14*TOMATO_HRS_PER_BED*WEEKS*(1+TOMATO_DIM_PCT)^A14)*FARMER_RATE</f>
        <v>117683.53189893346</v>
      </c>
      <c r="C14" s="4">
        <f t="shared" si="0"/>
        <v>19613.921983155582</v>
      </c>
    </row>
    <row r="15" spans="1:3" ht="16.5" x14ac:dyDescent="0.25">
      <c r="A15">
        <v>13</v>
      </c>
      <c r="B15">
        <f>(A15*TOMATO_HRS_PER_BED*WEEKS*(1+TOMATO_DIM_PCT)^A15)*FARMER_RATE</f>
        <v>140239.54217956238</v>
      </c>
      <c r="C15" s="4">
        <f t="shared" si="0"/>
        <v>22556.010280628921</v>
      </c>
    </row>
    <row r="16" spans="1:3" ht="16.5" x14ac:dyDescent="0.25">
      <c r="A16">
        <v>14</v>
      </c>
      <c r="B16">
        <f>(A16*TOMATO_HRS_PER_BED*WEEKS*(1+TOMATO_DIM_PCT)^A16)*FARMER_RATE</f>
        <v>166129.91919732778</v>
      </c>
      <c r="C16" s="4">
        <f t="shared" si="0"/>
        <v>25890.377017765393</v>
      </c>
    </row>
    <row r="17" spans="1:3" ht="16.5" x14ac:dyDescent="0.25">
      <c r="A17">
        <v>15</v>
      </c>
      <c r="B17">
        <f>(A17*TOMATO_HRS_PER_BED*WEEKS*(1+TOMATO_DIM_PCT)^A17)*FARMER_RATE</f>
        <v>195795.97619685059</v>
      </c>
      <c r="C17" s="4">
        <f t="shared" si="0"/>
        <v>29666.056999522814</v>
      </c>
    </row>
    <row r="18" spans="1:3" ht="16.5" x14ac:dyDescent="0.25">
      <c r="A18">
        <v>16</v>
      </c>
      <c r="B18">
        <f>(A18*TOMATO_HRS_PER_BED*WEEKS*(1+TOMATO_DIM_PCT)^A18)*FARMER_RATE</f>
        <v>229733.94540430469</v>
      </c>
      <c r="C18" s="4">
        <f t="shared" si="0"/>
        <v>33937.969207454094</v>
      </c>
    </row>
    <row r="19" spans="1:3" ht="16.5" x14ac:dyDescent="0.25">
      <c r="A19">
        <v>17</v>
      </c>
      <c r="B19">
        <f>(A19*TOMATO_HRS_PER_BED*WEEKS*(1+TOMATO_DIM_PCT)^A19)*FARMER_RATE</f>
        <v>268501.54869128112</v>
      </c>
      <c r="C19" s="4">
        <f t="shared" si="0"/>
        <v>38767.603286976431</v>
      </c>
    </row>
    <row r="20" spans="1:3" ht="16.5" x14ac:dyDescent="0.25">
      <c r="A20">
        <v>18</v>
      </c>
      <c r="B20">
        <f>(A20*TOMATO_HRS_PER_BED*WEEKS*(1+TOMATO_DIM_PCT)^A20)*FARMER_RATE</f>
        <v>312725.33318160975</v>
      </c>
      <c r="C20" s="4">
        <f t="shared" si="0"/>
        <v>44223.784490328631</v>
      </c>
    </row>
    <row r="21" spans="1:3" ht="16.5" x14ac:dyDescent="0.25">
      <c r="A21">
        <v>19</v>
      </c>
      <c r="B21">
        <f>(A21*TOMATO_HRS_PER_BED*WEEKS*(1+TOMATO_DIM_PCT)^A21)*FARMER_RATE</f>
        <v>363108.85908309149</v>
      </c>
      <c r="C21" s="4">
        <f t="shared" si="0"/>
        <v>50383.525901481742</v>
      </c>
    </row>
    <row r="22" spans="1:3" ht="16.5" x14ac:dyDescent="0.25">
      <c r="A22">
        <v>20</v>
      </c>
      <c r="B22">
        <f>(A22*TOMATO_HRS_PER_BED*WEEKS*(1+TOMATO_DIM_PCT)^A22)*FARMER_RATE</f>
        <v>420441.83683305327</v>
      </c>
      <c r="C22" s="4">
        <f t="shared" si="0"/>
        <v>57332.977749961778</v>
      </c>
    </row>
    <row r="24" spans="1:3" ht="30" x14ac:dyDescent="0.25">
      <c r="A24" s="14" t="s">
        <v>127</v>
      </c>
    </row>
    <row r="25" spans="1:3" x14ac:dyDescent="0.25">
      <c r="A25" s="5" t="s">
        <v>79</v>
      </c>
      <c r="B25" s="5" t="s">
        <v>124</v>
      </c>
      <c r="C25" s="5" t="s">
        <v>125</v>
      </c>
    </row>
    <row r="26" spans="1:3" x14ac:dyDescent="0.25">
      <c r="A26">
        <v>1</v>
      </c>
      <c r="B26">
        <f>(A26*CARROT_HRS_PER_BED*WEEKS*(1+CARROT_DIM_PCT)^A26)*FARMER_RATE</f>
        <v>1067.2129439999999</v>
      </c>
      <c r="C26" t="s">
        <v>126</v>
      </c>
    </row>
    <row r="27" spans="1:3" ht="16.5" x14ac:dyDescent="0.25">
      <c r="A27">
        <v>2</v>
      </c>
      <c r="B27">
        <f>(A27*CARROT_HRS_PER_BED*WEEKS*(1+CARROT_DIM_PCT)^A27)*FARMER_RATE</f>
        <v>2187.7865351999994</v>
      </c>
      <c r="C27" s="4">
        <f>B27-B26</f>
        <v>1120.5735911999996</v>
      </c>
    </row>
    <row r="28" spans="1:3" ht="16.5" x14ac:dyDescent="0.25">
      <c r="A28">
        <v>3</v>
      </c>
      <c r="B28">
        <f>(A28*CARROT_HRS_PER_BED*WEEKS*(1+CARROT_DIM_PCT)^A28)*FARMER_RATE</f>
        <v>3363.7217978699991</v>
      </c>
      <c r="C28" s="4">
        <f t="shared" ref="C28:C45" si="1">B28-B27</f>
        <v>1175.9352626699997</v>
      </c>
    </row>
    <row r="29" spans="1:3" ht="16.5" x14ac:dyDescent="0.25">
      <c r="A29">
        <v>4</v>
      </c>
      <c r="B29">
        <f>(A29*CARROT_HRS_PER_BED*WEEKS*(1+CARROT_DIM_PCT)^A29)*FARMER_RATE</f>
        <v>4597.0864570889989</v>
      </c>
      <c r="C29" s="4">
        <f t="shared" si="1"/>
        <v>1233.3646592189998</v>
      </c>
    </row>
    <row r="30" spans="1:3" ht="16.5" x14ac:dyDescent="0.25">
      <c r="A30">
        <v>5</v>
      </c>
      <c r="B30">
        <f>(A30*CARROT_HRS_PER_BED*WEEKS*(1+CARROT_DIM_PCT)^A30)*FARMER_RATE</f>
        <v>5890.0170231452794</v>
      </c>
      <c r="C30" s="4">
        <f t="shared" si="1"/>
        <v>1292.9305660562804</v>
      </c>
    </row>
    <row r="31" spans="1:3" ht="16.5" x14ac:dyDescent="0.25">
      <c r="A31">
        <v>6</v>
      </c>
      <c r="B31">
        <f>(A31*CARROT_HRS_PER_BED*WEEKS*(1+CARROT_DIM_PCT)^A31)*FARMER_RATE</f>
        <v>7244.7209384686921</v>
      </c>
      <c r="C31" s="4">
        <f t="shared" si="1"/>
        <v>1354.7039153234127</v>
      </c>
    </row>
    <row r="32" spans="1:3" ht="16.5" x14ac:dyDescent="0.25">
      <c r="A32">
        <v>7</v>
      </c>
      <c r="B32">
        <f>(A32*CARROT_HRS_PER_BED*WEEKS*(1+CARROT_DIM_PCT)^A32)*FARMER_RATE</f>
        <v>8663.4787889188119</v>
      </c>
      <c r="C32" s="4">
        <f t="shared" si="1"/>
        <v>1418.7578504501198</v>
      </c>
    </row>
    <row r="33" spans="1:3" ht="16.5" x14ac:dyDescent="0.25">
      <c r="A33">
        <v>8</v>
      </c>
      <c r="B33">
        <f>(A33*CARROT_HRS_PER_BED*WEEKS*(1+CARROT_DIM_PCT)^A33)*FARMER_RATE</f>
        <v>10148.646581304893</v>
      </c>
      <c r="C33" s="4">
        <f t="shared" si="1"/>
        <v>1485.1677923860807</v>
      </c>
    </row>
    <row r="34" spans="1:3" ht="16.5" x14ac:dyDescent="0.25">
      <c r="A34">
        <v>9</v>
      </c>
      <c r="B34">
        <f>(A34*CARROT_HRS_PER_BED*WEEKS*(1+CARROT_DIM_PCT)^A34)*FARMER_RATE</f>
        <v>11702.658089067203</v>
      </c>
      <c r="C34" s="4">
        <f t="shared" si="1"/>
        <v>1554.0115077623104</v>
      </c>
    </row>
    <row r="35" spans="1:3" ht="16.5" x14ac:dyDescent="0.25">
      <c r="A35">
        <v>10</v>
      </c>
      <c r="B35">
        <f>(A35*CARROT_HRS_PER_BED*WEEKS*(1+CARROT_DIM_PCT)^A35)*FARMER_RATE</f>
        <v>13328.027268104315</v>
      </c>
      <c r="C35" s="4">
        <f t="shared" si="1"/>
        <v>1625.3691790371122</v>
      </c>
    </row>
    <row r="36" spans="1:3" ht="16.5" x14ac:dyDescent="0.25">
      <c r="A36">
        <v>11</v>
      </c>
      <c r="B36">
        <f>(A36*CARROT_HRS_PER_BED*WEEKS*(1+CARROT_DIM_PCT)^A36)*FARMER_RATE</f>
        <v>15027.350744787615</v>
      </c>
      <c r="C36" s="4">
        <f t="shared" si="1"/>
        <v>1699.3234766832993</v>
      </c>
    </row>
    <row r="37" spans="1:3" ht="16.5" x14ac:dyDescent="0.25">
      <c r="A37">
        <v>12</v>
      </c>
      <c r="B37">
        <f>(A37*CARROT_HRS_PER_BED*WEEKS*(1+CARROT_DIM_PCT)^A37)*FARMER_RATE</f>
        <v>16803.310378262511</v>
      </c>
      <c r="C37" s="4">
        <f t="shared" si="1"/>
        <v>1775.9596334748967</v>
      </c>
    </row>
    <row r="38" spans="1:3" ht="16.5" x14ac:dyDescent="0.25">
      <c r="A38">
        <v>13</v>
      </c>
      <c r="B38">
        <f>(A38*CARROT_HRS_PER_BED*WEEKS*(1+CARROT_DIM_PCT)^A38)*FARMER_RATE</f>
        <v>18658.675899195663</v>
      </c>
      <c r="C38" s="4">
        <f t="shared" si="1"/>
        <v>1855.3655209331519</v>
      </c>
    </row>
    <row r="39" spans="1:3" ht="16.5" x14ac:dyDescent="0.25">
      <c r="A39">
        <v>14</v>
      </c>
      <c r="B39">
        <f>(A39*CARROT_HRS_PER_BED*WEEKS*(1+CARROT_DIM_PCT)^A39)*FARMER_RATE</f>
        <v>20596.30762718906</v>
      </c>
      <c r="C39" s="4">
        <f t="shared" si="1"/>
        <v>1937.6317279933974</v>
      </c>
    </row>
    <row r="40" spans="1:3" ht="16.5" x14ac:dyDescent="0.25">
      <c r="A40">
        <v>15</v>
      </c>
      <c r="B40">
        <f>(A40*CARROT_HRS_PER_BED*WEEKS*(1+CARROT_DIM_PCT)^A40)*FARMER_RATE</f>
        <v>22619.15926914513</v>
      </c>
      <c r="C40" s="4">
        <f t="shared" si="1"/>
        <v>2022.8516419560692</v>
      </c>
    </row>
    <row r="41" spans="1:3" ht="16.5" x14ac:dyDescent="0.25">
      <c r="A41">
        <v>16</v>
      </c>
      <c r="B41">
        <f>(A41*CARROT_HRS_PER_BED*WEEKS*(1+CARROT_DIM_PCT)^A41)*FARMER_RATE</f>
        <v>24730.280800932007</v>
      </c>
      <c r="C41" s="4">
        <f t="shared" si="1"/>
        <v>2111.1215317868773</v>
      </c>
    </row>
    <row r="42" spans="1:3" ht="16.5" x14ac:dyDescent="0.25">
      <c r="A42">
        <v>17</v>
      </c>
      <c r="B42">
        <f>(A42*CARROT_HRS_PER_BED*WEEKS*(1+CARROT_DIM_PCT)^A42)*FARMER_RATE</f>
        <v>26932.82143476501</v>
      </c>
      <c r="C42" s="4">
        <f t="shared" si="1"/>
        <v>2202.5406338330031</v>
      </c>
    </row>
    <row r="43" spans="1:3" ht="16.5" x14ac:dyDescent="0.25">
      <c r="A43">
        <v>18</v>
      </c>
      <c r="B43">
        <f>(A43*CARROT_HRS_PER_BED*WEEKS*(1+CARROT_DIM_PCT)^A43)*FARMER_RATE</f>
        <v>29230.032674789087</v>
      </c>
      <c r="C43" s="4">
        <f t="shared" si="1"/>
        <v>2297.2112400240767</v>
      </c>
    </row>
    <row r="44" spans="1:3" ht="16.5" x14ac:dyDescent="0.25">
      <c r="A44">
        <v>19</v>
      </c>
      <c r="B44">
        <f>(A44*CARROT_HRS_PER_BED*WEEKS*(1+CARROT_DIM_PCT)^A44)*FARMER_RATE</f>
        <v>31625.271463417637</v>
      </c>
      <c r="C44" s="4">
        <f t="shared" si="1"/>
        <v>2395.2387886285505</v>
      </c>
    </row>
    <row r="45" spans="1:3" ht="16.5" x14ac:dyDescent="0.25">
      <c r="A45">
        <v>20</v>
      </c>
      <c r="B45">
        <f>(A45*CARROT_HRS_PER_BED*WEEKS*(1+CARROT_DIM_PCT)^A45)*FARMER_RATE</f>
        <v>34122.003421055866</v>
      </c>
      <c r="C45" s="4">
        <f t="shared" si="1"/>
        <v>2496.7319576382288</v>
      </c>
    </row>
    <row r="47" spans="1:3" ht="16.5" x14ac:dyDescent="0.25">
      <c r="A47" s="15" t="s">
        <v>128</v>
      </c>
    </row>
    <row r="48" spans="1:3" ht="16.5" x14ac:dyDescent="0.25">
      <c r="A48" s="16" t="s">
        <v>79</v>
      </c>
      <c r="B48" s="5" t="s">
        <v>124</v>
      </c>
      <c r="C48" s="5" t="s">
        <v>125</v>
      </c>
    </row>
    <row r="49" spans="1:3" x14ac:dyDescent="0.25">
      <c r="A49">
        <v>1</v>
      </c>
      <c r="B49">
        <f>((A49*MESCLUN_HRS_PER_BED*WEEKS*(1+MESCLUN_DIM_PCT)^A49)*FARMER_RATE)
+(A49*MESCLUN_FERTILIZER_PER_BED)</f>
        <v>2461.9299999999998</v>
      </c>
      <c r="C49" t="s">
        <v>126</v>
      </c>
    </row>
    <row r="50" spans="1:3" ht="16.5" x14ac:dyDescent="0.25">
      <c r="A50">
        <v>2</v>
      </c>
      <c r="B50">
        <f>((A50*MESCLUN_HRS_PER_BED*WEEKS*(1+MESCLUN_DIM_PCT)^A50)*FARMER_RATE)
+(A50*MESCLUN_FERTILIZER_PER_BED)</f>
        <v>4963.4082499999995</v>
      </c>
      <c r="C50" s="4">
        <f>B50-B49</f>
        <v>2501.4782499999997</v>
      </c>
    </row>
    <row r="51" spans="1:3" ht="16.5" x14ac:dyDescent="0.25">
      <c r="A51">
        <v>3</v>
      </c>
      <c r="B51">
        <f>((A51*MESCLUN_HRS_PER_BED*WEEKS*(1+MESCLUN_DIM_PCT)^A51)*FARMER_RATE)
+(A51*MESCLUN_FERTILIZER_PER_BED)</f>
        <v>7505.1762796874991</v>
      </c>
      <c r="C51" s="4">
        <f t="shared" ref="C51:C78" si="2">B51-B50</f>
        <v>2541.7680296874996</v>
      </c>
    </row>
    <row r="52" spans="1:3" ht="16.5" x14ac:dyDescent="0.25">
      <c r="A52">
        <v>4</v>
      </c>
      <c r="B52">
        <f>((A52*MESCLUN_HRS_PER_BED*WEEKS*(1+MESCLUN_DIM_PCT)^A52)*FARMER_RATE)
+(A52*MESCLUN_FERTILIZER_PER_BED)</f>
        <v>10087.987977578125</v>
      </c>
      <c r="C52" s="4">
        <f t="shared" si="2"/>
        <v>2582.8116978906255</v>
      </c>
    </row>
    <row r="53" spans="1:3" ht="16.5" x14ac:dyDescent="0.25">
      <c r="A53">
        <v>5</v>
      </c>
      <c r="B53">
        <f>((A53*MESCLUN_HRS_PER_BED*WEEKS*(1+MESCLUN_DIM_PCT)^A53)*FARMER_RATE)
+(A53*MESCLUN_FERTILIZER_PER_BED)</f>
        <v>12712.609784122313</v>
      </c>
      <c r="C53" s="4">
        <f t="shared" si="2"/>
        <v>2624.6218065441881</v>
      </c>
    </row>
    <row r="54" spans="1:3" ht="16.5" x14ac:dyDescent="0.25">
      <c r="A54">
        <v>6</v>
      </c>
      <c r="B54">
        <f>((A54*MESCLUN_HRS_PER_BED*WEEKS*(1+MESCLUN_DIM_PCT)^A54)*FARMER_RATE)
+(A54*MESCLUN_FERTILIZER_PER_BED)</f>
        <v>15379.820887708611</v>
      </c>
      <c r="C54" s="4">
        <f t="shared" si="2"/>
        <v>2667.2111035862981</v>
      </c>
    </row>
    <row r="55" spans="1:3" ht="16.5" x14ac:dyDescent="0.25">
      <c r="A55">
        <v>7</v>
      </c>
      <c r="B55">
        <f>((A55*MESCLUN_HRS_PER_BED*WEEKS*(1+MESCLUN_DIM_PCT)^A55)*FARMER_RATE)
+(A55*MESCLUN_FERTILIZER_PER_BED)</f>
        <v>18090.413423605794</v>
      </c>
      <c r="C55" s="4">
        <f t="shared" si="2"/>
        <v>2710.5925358971836</v>
      </c>
    </row>
    <row r="56" spans="1:3" ht="16.5" x14ac:dyDescent="0.25">
      <c r="A56">
        <v>8</v>
      </c>
      <c r="B56">
        <f>((A56*MESCLUN_HRS_PER_BED*WEEKS*(1+MESCLUN_DIM_PCT)^A56)*FARMER_RATE)
+(A56*MESCLUN_FERTILIZER_PER_BED)</f>
        <v>20845.192675886705</v>
      </c>
      <c r="C56" s="4">
        <f t="shared" si="2"/>
        <v>2754.7792522809104</v>
      </c>
    </row>
    <row r="57" spans="1:3" ht="16.5" x14ac:dyDescent="0.25">
      <c r="A57">
        <v>9</v>
      </c>
      <c r="B57">
        <f>((A57*MESCLUN_HRS_PER_BED*WEEKS*(1+MESCLUN_DIM_PCT)^A57)*FARMER_RATE)
+(A57*MESCLUN_FERTILIZER_PER_BED)</f>
        <v>23644.9772823772</v>
      </c>
      <c r="C57" s="4">
        <f t="shared" si="2"/>
        <v>2799.7846064904952</v>
      </c>
    </row>
    <row r="58" spans="1:3" ht="16.5" x14ac:dyDescent="0.25">
      <c r="A58">
        <v>10</v>
      </c>
      <c r="B58">
        <f>((A58*MESCLUN_HRS_PER_BED*WEEKS*(1+MESCLUN_DIM_PCT)^A58)*FARMER_RATE)
+(A58*MESCLUN_FERTILIZER_PER_BED)</f>
        <v>26490.599442674353</v>
      </c>
      <c r="C58" s="4">
        <f t="shared" si="2"/>
        <v>2845.6221602971527</v>
      </c>
    </row>
    <row r="59" spans="1:3" ht="16.5" x14ac:dyDescent="0.25">
      <c r="A59">
        <v>11</v>
      </c>
      <c r="B59">
        <f>((A59*MESCLUN_HRS_PER_BED*WEEKS*(1+MESCLUN_DIM_PCT)^A59)*FARMER_RATE)
+(A59*MESCLUN_FERTILIZER_PER_BED)</f>
        <v>29382.905129278555</v>
      </c>
      <c r="C59" s="4">
        <f t="shared" si="2"/>
        <v>2892.3056866042025</v>
      </c>
    </row>
    <row r="60" spans="1:3" ht="16.5" x14ac:dyDescent="0.25">
      <c r="A60">
        <v>12</v>
      </c>
      <c r="B60">
        <f>((A60*MESCLUN_HRS_PER_BED*WEEKS*(1+MESCLUN_DIM_PCT)^A60)*FARMER_RATE)
+(A60*MESCLUN_FERTILIZER_PER_BED)</f>
        <v>32322.754301884954</v>
      </c>
      <c r="C60" s="4">
        <f t="shared" si="2"/>
        <v>2939.8491726063985</v>
      </c>
    </row>
    <row r="61" spans="1:3" ht="16.5" x14ac:dyDescent="0.25">
      <c r="A61">
        <v>13</v>
      </c>
      <c r="B61">
        <f>((A61*MESCLUN_HRS_PER_BED*WEEKS*(1+MESCLUN_DIM_PCT)^A61)*FARMER_RATE)
+(A61*MESCLUN_FERTILIZER_PER_BED)</f>
        <v>35311.021124880055</v>
      </c>
      <c r="C61" s="4">
        <f t="shared" si="2"/>
        <v>2988.2668229951014</v>
      </c>
    </row>
    <row r="62" spans="1:3" ht="16.5" x14ac:dyDescent="0.25">
      <c r="A62">
        <v>14</v>
      </c>
      <c r="B62">
        <f>((A62*MESCLUN_HRS_PER_BED*WEEKS*(1+MESCLUN_DIM_PCT)^A62)*FARMER_RATE)
+(A62*MESCLUN_FERTILIZER_PER_BED)</f>
        <v>38348.59418809037</v>
      </c>
      <c r="C62" s="4">
        <f t="shared" si="2"/>
        <v>3037.573063210315</v>
      </c>
    </row>
    <row r="63" spans="1:3" ht="16.5" x14ac:dyDescent="0.25">
      <c r="A63">
        <v>15</v>
      </c>
      <c r="B63">
        <f>((A63*MESCLUN_HRS_PER_BED*WEEKS*(1+MESCLUN_DIM_PCT)^A63)*FARMER_RATE)
+(A63*MESCLUN_FERTILIZER_PER_BED)</f>
        <v>41436.376730830176</v>
      </c>
      <c r="C63" s="4">
        <f t="shared" si="2"/>
        <v>3087.7825427398056</v>
      </c>
    </row>
    <row r="64" spans="1:3" ht="16.5" x14ac:dyDescent="0.25">
      <c r="A64">
        <v>16</v>
      </c>
      <c r="B64">
        <f>((A64*MESCLUN_HRS_PER_BED*WEEKS*(1+MESCLUN_DIM_PCT)^A64)*FARMER_RATE)
+(A64*MESCLUN_FERTILIZER_PER_BED)</f>
        <v>44575.2868692966</v>
      </c>
      <c r="C64" s="4">
        <f t="shared" si="2"/>
        <v>3138.9101384664245</v>
      </c>
    </row>
    <row r="65" spans="1:3" ht="16.5" x14ac:dyDescent="0.25">
      <c r="A65">
        <v>17</v>
      </c>
      <c r="B65">
        <f>((A65*MESCLUN_HRS_PER_BED*WEEKS*(1+MESCLUN_DIM_PCT)^A65)*FARMER_RATE)
+(A65*MESCLUN_FERTILIZER_PER_BED)</f>
        <v>47766.257827360474</v>
      </c>
      <c r="C65" s="4">
        <f t="shared" si="2"/>
        <v>3190.9709580638737</v>
      </c>
    </row>
    <row r="66" spans="1:3" ht="16.5" x14ac:dyDescent="0.25">
      <c r="A66">
        <v>18</v>
      </c>
      <c r="B66">
        <f>((A66*MESCLUN_HRS_PER_BED*WEEKS*(1+MESCLUN_DIM_PCT)^A66)*FARMER_RATE)
+(A66*MESCLUN_FERTILIZER_PER_BED)</f>
        <v>51010.23817080263</v>
      </c>
      <c r="C66" s="4">
        <f t="shared" si="2"/>
        <v>3243.9803434421556</v>
      </c>
    </row>
    <row r="67" spans="1:3" ht="16.5" x14ac:dyDescent="0.25">
      <c r="A67">
        <v>19</v>
      </c>
      <c r="B67">
        <f>((A67*MESCLUN_HRS_PER_BED*WEEKS*(1+MESCLUN_DIM_PCT)^A67)*FARMER_RATE)
+(A67*MESCLUN_FERTILIZER_PER_BED)</f>
        <v>54308.192045045304</v>
      </c>
      <c r="C67" s="4">
        <f t="shared" si="2"/>
        <v>3297.9538742426739</v>
      </c>
    </row>
    <row r="68" spans="1:3" ht="16.5" x14ac:dyDescent="0.25">
      <c r="A68">
        <v>20</v>
      </c>
      <c r="B68">
        <f>((A68*MESCLUN_HRS_PER_BED*WEEKS*(1+MESCLUN_DIM_PCT)^A68)*FARMER_RATE)
+(A68*MESCLUN_FERTILIZER_PER_BED)</f>
        <v>57661.099416429868</v>
      </c>
      <c r="C68" s="4">
        <f t="shared" si="2"/>
        <v>3352.9073713845646</v>
      </c>
    </row>
    <row r="69" spans="1:3" ht="16.5" x14ac:dyDescent="0.25">
      <c r="A69">
        <v>21</v>
      </c>
      <c r="B69">
        <f>((A69*MESCLUN_HRS_PER_BED*WEEKS*(1+MESCLUN_DIM_PCT)^A69)*FARMER_RATE)
+(A69*MESCLUN_FERTILIZER_PER_BED)</f>
        <v>61069.956317091994</v>
      </c>
      <c r="C69" s="4">
        <f t="shared" si="2"/>
        <v>3408.8569006621256</v>
      </c>
    </row>
    <row r="70" spans="1:3" ht="16.5" x14ac:dyDescent="0.25">
      <c r="A70">
        <v>22</v>
      </c>
      <c r="B70">
        <f>((A70*MESCLUN_HRS_PER_BED*WEEKS*(1+MESCLUN_DIM_PCT)^A70)*FARMER_RATE)
+(A70*MESCLUN_FERTILIZER_PER_BED)</f>
        <v>64535.775093486867</v>
      </c>
      <c r="C70" s="4">
        <f t="shared" si="2"/>
        <v>3465.8187763948736</v>
      </c>
    </row>
    <row r="71" spans="1:3" ht="16.5" x14ac:dyDescent="0.25">
      <c r="A71">
        <v>23</v>
      </c>
      <c r="B71">
        <f>((A71*MESCLUN_HRS_PER_BED*WEEKS*(1+MESCLUN_DIM_PCT)^A71)*FARMER_RATE)
+(A71*MESCLUN_FERTILIZER_PER_BED)</f>
        <v>68059.584658617066</v>
      </c>
      <c r="C71" s="4">
        <f t="shared" si="2"/>
        <v>3523.8095651301992</v>
      </c>
    </row>
    <row r="72" spans="1:3" ht="16.5" x14ac:dyDescent="0.25">
      <c r="A72">
        <v>24</v>
      </c>
      <c r="B72">
        <f>((A72*MESCLUN_HRS_PER_BED*WEEKS*(1+MESCLUN_DIM_PCT)^A72)*FARMER_RATE)
+(A72*MESCLUN_FERTILIZER_PER_BED)</f>
        <v>71642.430748017156</v>
      </c>
      <c r="C72" s="4">
        <f t="shared" si="2"/>
        <v>3582.8460894000891</v>
      </c>
    </row>
    <row r="73" spans="1:3" ht="16.5" x14ac:dyDescent="0.25">
      <c r="A73">
        <v>25</v>
      </c>
      <c r="B73">
        <f>((A73*MESCLUN_HRS_PER_BED*WEEKS*(1+MESCLUN_DIM_PCT)^A73)*FARMER_RATE)
+(A73*MESCLUN_FERTILIZER_PER_BED)</f>
        <v>75285.376179549348</v>
      </c>
      <c r="C73" s="4">
        <f t="shared" si="2"/>
        <v>3642.9454315321927</v>
      </c>
    </row>
    <row r="74" spans="1:3" ht="16.5" x14ac:dyDescent="0.25">
      <c r="A74">
        <v>26</v>
      </c>
      <c r="B74">
        <f>((A74*MESCLUN_HRS_PER_BED*WEEKS*(1+MESCLUN_DIM_PCT)^A74)*FARMER_RATE)
+(A74*MESCLUN_FERTILIZER_PER_BED)</f>
        <v>78989.501117065476</v>
      </c>
      <c r="C74" s="4">
        <f t="shared" si="2"/>
        <v>3704.1249375161278</v>
      </c>
    </row>
    <row r="75" spans="1:3" ht="16.5" x14ac:dyDescent="0.25">
      <c r="A75">
        <v>27</v>
      </c>
      <c r="B75">
        <f>((A75*MESCLUN_HRS_PER_BED*WEEKS*(1+MESCLUN_DIM_PCT)^A75)*FARMER_RATE)
+(A75*MESCLUN_FERTILIZER_PER_BED)</f>
        <v>82755.903337991418</v>
      </c>
      <c r="C75" s="4">
        <f t="shared" si="2"/>
        <v>3766.4022209259419</v>
      </c>
    </row>
    <row r="76" spans="1:3" ht="16.5" x14ac:dyDescent="0.25">
      <c r="A76">
        <v>28</v>
      </c>
      <c r="B76">
        <f>((A76*MESCLUN_HRS_PER_BED*WEEKS*(1+MESCLUN_DIM_PCT)^A76)*FARMER_RATE)
+(A76*MESCLUN_FERTILIZER_PER_BED)</f>
        <v>86585.698504890999</v>
      </c>
      <c r="C76" s="4">
        <f t="shared" si="2"/>
        <v>3829.7951668995811</v>
      </c>
    </row>
    <row r="77" spans="1:3" ht="16.5" x14ac:dyDescent="0.25">
      <c r="A77">
        <v>29</v>
      </c>
      <c r="B77">
        <f>((A77*MESCLUN_HRS_PER_BED*WEEKS*(1+MESCLUN_DIM_PCT)^A77)*FARMER_RATE)
+(A77*MESCLUN_FERTILIZER_PER_BED)</f>
        <v>90480.020441066488</v>
      </c>
      <c r="C77" s="4">
        <f t="shared" si="2"/>
        <v>3894.3219361754891</v>
      </c>
    </row>
    <row r="78" spans="1:3" ht="16.5" x14ac:dyDescent="0.25">
      <c r="A78">
        <v>30</v>
      </c>
      <c r="B78">
        <f>((A78*MESCLUN_HRS_PER_BED*WEEKS*(1+MESCLUN_DIM_PCT)^A78)*FARMER_RATE)
+(A78*MESCLUN_FERTILIZER_PER_BED)</f>
        <v>94440.021410255009</v>
      </c>
      <c r="C78" s="4">
        <f t="shared" si="2"/>
        <v>3960.0009691885207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837CD-71B5-41FE-AB68-B192F153FF71}">
  <dimension ref="A1:B6"/>
  <sheetViews>
    <sheetView tabSelected="1" workbookViewId="0">
      <selection activeCell="B3" sqref="B3"/>
    </sheetView>
  </sheetViews>
  <sheetFormatPr defaultRowHeight="15" x14ac:dyDescent="0.25"/>
  <cols>
    <col min="1" max="1" width="21.140625" customWidth="1"/>
    <col min="2" max="2" width="25.5703125" customWidth="1"/>
  </cols>
  <sheetData>
    <row r="1" spans="1:2" ht="75" x14ac:dyDescent="0.25">
      <c r="A1" s="1" t="s">
        <v>66</v>
      </c>
      <c r="B1" s="1">
        <f>MIN(Calculations!B8,FARMER_HOURS)*FARMER_RATE</f>
        <v>24998.399999999998</v>
      </c>
    </row>
    <row r="2" spans="1:2" ht="30" x14ac:dyDescent="0.25">
      <c r="A2" t="s">
        <v>67</v>
      </c>
      <c r="B2" s="1">
        <f>MAX(0,Calculations!B8-FARMER_HOURS)*TEMP_WORKER_RATE</f>
        <v>79106.444612257867</v>
      </c>
    </row>
    <row r="3" spans="1:2" ht="30" x14ac:dyDescent="0.25">
      <c r="A3" t="s">
        <v>68</v>
      </c>
      <c r="B3" s="1">
        <f>Calculations!B22</f>
        <v>104104.84461225786</v>
      </c>
    </row>
    <row r="4" spans="1:2" ht="30" x14ac:dyDescent="0.25">
      <c r="A4" t="s">
        <v>135</v>
      </c>
      <c r="B4" s="1">
        <f>Calculations!B18</f>
        <v>44000</v>
      </c>
    </row>
    <row r="5" spans="1:2" x14ac:dyDescent="0.25">
      <c r="A5" t="s">
        <v>136</v>
      </c>
      <c r="B5">
        <f>FIXED_COSTS</f>
        <v>20000</v>
      </c>
    </row>
    <row r="6" spans="1:2" x14ac:dyDescent="0.25">
      <c r="A6" t="s">
        <v>124</v>
      </c>
      <c r="B6">
        <f>SUM(B3:B5)</f>
        <v>168104.84461225785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25</vt:i4>
      </vt:variant>
    </vt:vector>
  </HeadingPairs>
  <TitlesOfParts>
    <vt:vector size="34" baseType="lpstr">
      <vt:lpstr>Inputs</vt:lpstr>
      <vt:lpstr>Calculations</vt:lpstr>
      <vt:lpstr>Optimization</vt:lpstr>
      <vt:lpstr>Checks</vt:lpstr>
      <vt:lpstr>Example Answer Report 1</vt:lpstr>
      <vt:lpstr>Example Answer Report 2</vt:lpstr>
      <vt:lpstr>Hypothesis Report </vt:lpstr>
      <vt:lpstr>Marginal Cost</vt:lpstr>
      <vt:lpstr>Cost Structure</vt:lpstr>
      <vt:lpstr>CARROT_BED_CAP</vt:lpstr>
      <vt:lpstr>CARROT_DIM_PCT</vt:lpstr>
      <vt:lpstr>CARROT_FERTILIZER_PER_BED</vt:lpstr>
      <vt:lpstr>CARROT_HRS_PER_BED</vt:lpstr>
      <vt:lpstr>CARROT_REVENUE_PER_BED</vt:lpstr>
      <vt:lpstr>CARROTS_DIM_PCT</vt:lpstr>
      <vt:lpstr>CARROTS_HRS_PER_BED</vt:lpstr>
      <vt:lpstr>FARMER_HOURS</vt:lpstr>
      <vt:lpstr>FARMER_RATE</vt:lpstr>
      <vt:lpstr>FIXED_COSTS</vt:lpstr>
      <vt:lpstr>MESCLUN_BED_CAP</vt:lpstr>
      <vt:lpstr>MESCLUN_DIM_PCT</vt:lpstr>
      <vt:lpstr>MESCLUN_FERTILIZER_PER_BED</vt:lpstr>
      <vt:lpstr>MESCLUN_HRS_PER_BED</vt:lpstr>
      <vt:lpstr>MESCLUN_REVENUE_PER_BED</vt:lpstr>
      <vt:lpstr>TEMP_WORKER_RATE</vt:lpstr>
      <vt:lpstr>TEMP_WORKERS_HOURS</vt:lpstr>
      <vt:lpstr>TEMP_WORKERS_MAX</vt:lpstr>
      <vt:lpstr>TOMATO_BED_CAP</vt:lpstr>
      <vt:lpstr>TOMATO_DIM_PCT</vt:lpstr>
      <vt:lpstr>TOMATO_FERTILIZER_PER_BED</vt:lpstr>
      <vt:lpstr>TOMATO_HRS_PER_BED</vt:lpstr>
      <vt:lpstr>TOMATO_REVENUE_PER_BED</vt:lpstr>
      <vt:lpstr>TOTAL_BEDS</vt:lpstr>
      <vt:lpstr>WEEKS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Kim</dc:creator>
  <cp:lastModifiedBy>Sebastian Kim</cp:lastModifiedBy>
  <dcterms:created xsi:type="dcterms:W3CDTF">2026-10-09T20:37:39Z</dcterms:created>
  <dcterms:modified xsi:type="dcterms:W3CDTF">2026-10-20T02:05:33Z</dcterms:modified>
</cp:coreProperties>
</file>